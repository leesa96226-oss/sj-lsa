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j-data1\data\"/>
    </mc:Choice>
  </mc:AlternateContent>
  <bookViews>
    <workbookView xWindow="0" yWindow="0" windowWidth="19500" windowHeight="11205"/>
  </bookViews>
  <sheets>
    <sheet name="안내" sheetId="1" r:id="rId1"/>
    <sheet name="매출" sheetId="2" r:id="rId2"/>
    <sheet name="매입" sheetId="3" r:id="rId3"/>
    <sheet name="거래처" sheetId="4" r:id="rId4"/>
    <sheet name="프로젝트" sheetId="5" r:id="rId5"/>
    <sheet name="자금수지" sheetId="6" r:id="rId6"/>
    <sheet name="설정" sheetId="7" r:id="rId7"/>
  </sheets>
  <definedNames>
    <definedName name="_xlnm._FilterDatabase" localSheetId="3" hidden="1">거래처!$A$1:$L$1</definedName>
    <definedName name="_xlnm._FilterDatabase" localSheetId="2" hidden="1">매입!$A$1:$R$1</definedName>
    <definedName name="_xlnm._FilterDatabase" localSheetId="1" hidden="1">매출!$A$1:$Q$1</definedName>
    <definedName name="_xlnm._FilterDatabase" localSheetId="5" hidden="1">자금수지!$A$1:$J$1</definedName>
    <definedName name="_xlnm._FilterDatabase" localSheetId="4" hidden="1">프로젝트!$A$1:$M$1</definedName>
  </definedNames>
  <calcPr calcId="162913"/>
</workbook>
</file>

<file path=xl/calcChain.xml><?xml version="1.0" encoding="utf-8"?>
<calcChain xmlns="http://schemas.openxmlformats.org/spreadsheetml/2006/main">
  <c r="G13" i="6" l="1"/>
  <c r="G12" i="6"/>
  <c r="G11" i="6"/>
  <c r="G10" i="6"/>
  <c r="G9" i="6"/>
  <c r="G8" i="6"/>
  <c r="G7" i="6"/>
  <c r="G6" i="6"/>
  <c r="G5" i="6"/>
  <c r="G4" i="6"/>
  <c r="G3" i="6"/>
  <c r="G2" i="6"/>
  <c r="K16" i="3"/>
  <c r="L16" i="3" s="1"/>
  <c r="P16" i="3" s="1"/>
  <c r="K15" i="3"/>
  <c r="L15" i="3" s="1"/>
  <c r="P15" i="3" s="1"/>
  <c r="K14" i="3"/>
  <c r="L14" i="3" s="1"/>
  <c r="P14" i="3" s="1"/>
  <c r="K13" i="3"/>
  <c r="L13" i="3" s="1"/>
  <c r="P13" i="3" s="1"/>
  <c r="K12" i="3"/>
  <c r="L12" i="3" s="1"/>
  <c r="P12" i="3" s="1"/>
  <c r="K11" i="3"/>
  <c r="L11" i="3" s="1"/>
  <c r="P11" i="3" s="1"/>
  <c r="K10" i="3"/>
  <c r="L10" i="3" s="1"/>
  <c r="P10" i="3" s="1"/>
  <c r="K9" i="3"/>
  <c r="L9" i="3" s="1"/>
  <c r="P9" i="3" s="1"/>
  <c r="K8" i="3"/>
  <c r="L8" i="3" s="1"/>
  <c r="P8" i="3" s="1"/>
  <c r="K7" i="3"/>
  <c r="L7" i="3" s="1"/>
  <c r="P7" i="3" s="1"/>
  <c r="K6" i="3"/>
  <c r="L6" i="3" s="1"/>
  <c r="P6" i="3" s="1"/>
  <c r="P5" i="3"/>
  <c r="L5" i="3"/>
  <c r="K5" i="3"/>
  <c r="K4" i="3"/>
  <c r="L4" i="3" s="1"/>
  <c r="P4" i="3" s="1"/>
  <c r="K3" i="3"/>
  <c r="L3" i="3" s="1"/>
  <c r="P3" i="3" s="1"/>
  <c r="K2" i="3"/>
  <c r="L2" i="3" s="1"/>
  <c r="P2" i="3" s="1"/>
  <c r="J11" i="2"/>
  <c r="K11" i="2" s="1"/>
  <c r="O11" i="2" s="1"/>
  <c r="K10" i="2"/>
  <c r="O10" i="2" s="1"/>
  <c r="J10" i="2"/>
  <c r="J9" i="2"/>
  <c r="K9" i="2" s="1"/>
  <c r="O9" i="2" s="1"/>
  <c r="J8" i="2"/>
  <c r="K8" i="2" s="1"/>
  <c r="O8" i="2" s="1"/>
  <c r="J7" i="2"/>
  <c r="K7" i="2" s="1"/>
  <c r="O7" i="2" s="1"/>
  <c r="K6" i="2"/>
  <c r="O6" i="2" s="1"/>
  <c r="J6" i="2"/>
  <c r="J5" i="2"/>
  <c r="K5" i="2" s="1"/>
  <c r="O5" i="2" s="1"/>
  <c r="J4" i="2"/>
  <c r="K4" i="2" s="1"/>
  <c r="O4" i="2" s="1"/>
  <c r="J3" i="2"/>
  <c r="K3" i="2" s="1"/>
  <c r="O3" i="2" s="1"/>
  <c r="J2" i="2"/>
  <c r="K2" i="2" s="1"/>
  <c r="O2" i="2" s="1"/>
</calcChain>
</file>

<file path=xl/sharedStrings.xml><?xml version="1.0" encoding="utf-8"?>
<sst xmlns="http://schemas.openxmlformats.org/spreadsheetml/2006/main" count="554" uniqueCount="249">
  <si>
    <t xml:space="preserve">  (주)신정개발  경영지원 마스터 데이터</t>
  </si>
  <si>
    <t>매출·매입을 중심으로 경영지원 대시보드가 읽어 들이는 원본 데이터 파일입니다.</t>
  </si>
  <si>
    <t>■ 이 파일은 이렇게 쓰입니다</t>
  </si>
  <si>
    <t xml:space="preserve">   1) 담당자가 이 엑셀에 자료를 입력하고 저장합니다.</t>
  </si>
  <si>
    <t xml:space="preserve">   2) GitHub에 올리면(push) Vercel 대시보드가 이 파일을 읽어 실시간 지표로 보여줍니다.</t>
  </si>
  <si>
    <t xml:space="preserve">   3) 따라서 '시트 이름'과 '1행 제목'이 대시보드와의 약속(스키마)입니다 — 바꾸면 안 됩니다.</t>
  </si>
  <si>
    <t>■ 입력 규칙 (꼭 지켜주세요)</t>
  </si>
  <si>
    <t xml:space="preserve">   1. 1행(제목행)과 시트 이름은 절대 바꾸지 마세요. 대시보드가 이 이름으로 데이터를 인식합니다.</t>
  </si>
  <si>
    <t xml:space="preserve">   2. 한 줄 = 한 건. 데이터 시트에서는 셀 병합을 하지 마세요.</t>
  </si>
  <si>
    <t xml:space="preserve">   3. 날짜는 2026-07-02 형식으로 입력합니다(날짜 서식이 지정돼 있습니다).</t>
  </si>
  <si>
    <t xml:space="preserve">   4. 금액은 숫자만 입력합니다 — 콤마·'원'·공백 없이 (예: 1500000).</t>
  </si>
  <si>
    <t xml:space="preserve">   5. 연회색 '(자동)' 칸은 수식이 계산합니다. 직접 입력하지 마세요.</t>
  </si>
  <si>
    <t xml:space="preserve">   6. 사업부문·상태 등은 셀을 클릭하면 나오는 목록에서 선택하세요(오타 방지).</t>
  </si>
  <si>
    <t xml:space="preserve">   7. 새 자료는 표 맨 아래 빈 줄에 이어서 추가합니다(중간에 끼워 넣지 않기).</t>
  </si>
  <si>
    <t xml:space="preserve">   8. 거래처코드·프로젝트코드는 각 마스터 시트의 코드와 똑같이 맞춰 입력합니다.</t>
  </si>
  <si>
    <t xml:space="preserve">   9. 부가세는 공급가액의 10%로 자동 계산됩니다. 면세·영세율 건은 부가세 칸을 0으로 직접 고치세요.</t>
  </si>
  <si>
    <t>■ 시트 안내</t>
  </si>
  <si>
    <t xml:space="preserve">   • 매출 — 제품·용역 판매 등 우리가 청구하는 모든 거래(세금계산서 발행 기준).</t>
  </si>
  <si>
    <t xml:space="preserve">   • 매입 — 외주비·자재·경비 등 우리가 지급하는 거래. 원가는 프로젝트코드로 현장에 귀속됩니다.</t>
  </si>
  <si>
    <t xml:space="preserve">   • 거래처 — 매출처·매입처 기본정보(코드·사업자번호·담당자). 매출/매입의 거래처코드가 여기를 참조.</t>
  </si>
  <si>
    <t xml:space="preserve">   • 프로젝트 — 현장(공사·납품) 단위 관리. 계약금액·진행상태로 수주·원가·이익을 집계.</t>
  </si>
  <si>
    <t xml:space="preserve">   • 자금수지 — 실제 통장 입출금 내역. 수금·지급과 연결해 현금흐름과 잔액을 관리.</t>
  </si>
  <si>
    <t xml:space="preserve">   • 설정 — 드롭다운 목록의 원본. 항목을 늘리려면 이 시트에 값을 추가하세요.</t>
  </si>
  <si>
    <t>■ 코드 규칙(권장)</t>
  </si>
  <si>
    <t xml:space="preserve">   • 매출ID S26-001   • 매입ID P26-001   • 매출처 C001 / 매입처 V001   • 프로젝트 PJ2601</t>
  </si>
  <si>
    <t>작성 기준일 2026-07-02  |  아래 시트에는 이해를 돕는 샘플 데이터가 있습니다(실제 사용 시 지우고 입력).</t>
  </si>
  <si>
    <t>매출ID</t>
  </si>
  <si>
    <t>거래일자</t>
  </si>
  <si>
    <t>사업부문</t>
  </si>
  <si>
    <t>거래처코드</t>
  </si>
  <si>
    <t>거래처명</t>
  </si>
  <si>
    <t>프로젝트코드</t>
  </si>
  <si>
    <t>프로젝트명</t>
  </si>
  <si>
    <t>거래내용</t>
  </si>
  <si>
    <t>공급가액</t>
  </si>
  <si>
    <t>부가세(자동)</t>
  </si>
  <si>
    <t>합계금액(자동)</t>
  </si>
  <si>
    <t>세금계산서발행일</t>
  </si>
  <si>
    <t>수금상태</t>
  </si>
  <si>
    <t>수금액</t>
  </si>
  <si>
    <t>미수금(자동)</t>
  </si>
  <si>
    <t>수금예정일</t>
  </si>
  <si>
    <t>비고</t>
  </si>
  <si>
    <t>S26-001</t>
  </si>
  <si>
    <t>화학설비크리닝</t>
  </si>
  <si>
    <t>C001</t>
  </si>
  <si>
    <t>GS칼텍스(주)</t>
  </si>
  <si>
    <t>PJ2601</t>
  </si>
  <si>
    <t>GS칼텍스 제2공장 열교환기 화학세정</t>
  </si>
  <si>
    <t>열교환기 번들 정밀세정 1식</t>
  </si>
  <si>
    <t>수금완료</t>
  </si>
  <si>
    <t>S26-002</t>
  </si>
  <si>
    <t>하수도준설</t>
  </si>
  <si>
    <t>C005</t>
  </si>
  <si>
    <t>여수시청</t>
  </si>
  <si>
    <t>PJ2603</t>
  </si>
  <si>
    <t>여수국가산단 하수관로 준설</t>
  </si>
  <si>
    <t>관로 준설 및 준설토 처리 1식</t>
  </si>
  <si>
    <t>부분수금</t>
  </si>
  <si>
    <t>S26-003</t>
  </si>
  <si>
    <t>무인로봇</t>
  </si>
  <si>
    <t>C003</t>
  </si>
  <si>
    <t>LG화학(주)</t>
  </si>
  <si>
    <t>PJ2604</t>
  </si>
  <si>
    <t>무인탐사로봇 SJ-100 납품</t>
  </si>
  <si>
    <t>특수환경 탐사로봇 SJ-100 2대</t>
  </si>
  <si>
    <t>S26-004</t>
  </si>
  <si>
    <t>C002</t>
  </si>
  <si>
    <t>롯데케미칼(주)</t>
  </si>
  <si>
    <t>PJ2602</t>
  </si>
  <si>
    <t>롯데케미칼 반응기 정밀크리닝</t>
  </si>
  <si>
    <t>반응기 내부 스케일 제거 1식</t>
  </si>
  <si>
    <t>S26-005</t>
  </si>
  <si>
    <t>C004</t>
  </si>
  <si>
    <t>여천NCC(주)</t>
  </si>
  <si>
    <t>PJ2605</t>
  </si>
  <si>
    <t>여천NCC 저장탱크 클리닝</t>
  </si>
  <si>
    <t>저장탱크 슬러지 제거 1식</t>
  </si>
  <si>
    <t>미수</t>
  </si>
  <si>
    <t>S26-006</t>
  </si>
  <si>
    <t>C006</t>
  </si>
  <si>
    <t>서산시청</t>
  </si>
  <si>
    <t>PJ2606</t>
  </si>
  <si>
    <t>서산시 우수관거 준설보수</t>
  </si>
  <si>
    <t>우수관거 준설 및 보수 1식</t>
  </si>
  <si>
    <t>S26-007</t>
  </si>
  <si>
    <t>PJ2607</t>
  </si>
  <si>
    <t>GS칼텍스 배관 화학세정</t>
  </si>
  <si>
    <t>공정배관 화학세정 1식</t>
  </si>
  <si>
    <t>S26-008</t>
  </si>
  <si>
    <t>PJ2608</t>
  </si>
  <si>
    <t>밀폐공간 점검로봇 임대</t>
  </si>
  <si>
    <t>점검로봇 임대(3개월)</t>
  </si>
  <si>
    <t>S26-009</t>
  </si>
  <si>
    <t>PJ2609</t>
  </si>
  <si>
    <t>LG화학 열교환기 세정</t>
  </si>
  <si>
    <t>열교환기 화학세정 1식</t>
  </si>
  <si>
    <t>S26-010</t>
  </si>
  <si>
    <t>여수국가산단 하수관로 준설(2차)</t>
  </si>
  <si>
    <t>추가 준설 1식</t>
  </si>
  <si>
    <t>매입ID</t>
  </si>
  <si>
    <t>계정과목</t>
  </si>
  <si>
    <t>세금계산서수취일</t>
  </si>
  <si>
    <t>지급상태</t>
  </si>
  <si>
    <t>지급액</t>
  </si>
  <si>
    <t>미지급금(자동)</t>
  </si>
  <si>
    <t>지급예정일</t>
  </si>
  <si>
    <t>P26-001</t>
  </si>
  <si>
    <t>외주비</t>
  </si>
  <si>
    <t>V005</t>
  </si>
  <si>
    <t>여수인력공사</t>
  </si>
  <si>
    <t>화학세정 외주인력 투입</t>
  </si>
  <si>
    <t>지급완료</t>
  </si>
  <si>
    <t>P26-002</t>
  </si>
  <si>
    <t>자재비</t>
  </si>
  <si>
    <t>V007</t>
  </si>
  <si>
    <t>(주)케미컬약품</t>
  </si>
  <si>
    <t>세정 약품 구매</t>
  </si>
  <si>
    <t>P26-003</t>
  </si>
  <si>
    <t>장비임차료</t>
  </si>
  <si>
    <t>V003</t>
  </si>
  <si>
    <t>남해로지스</t>
  </si>
  <si>
    <t>준설장비 임차</t>
  </si>
  <si>
    <t>P26-004</t>
  </si>
  <si>
    <t>준설 외주인력</t>
  </si>
  <si>
    <t>부분지급</t>
  </si>
  <si>
    <t>P26-005</t>
  </si>
  <si>
    <t>V004</t>
  </si>
  <si>
    <t>(주)정밀로봇부품</t>
  </si>
  <si>
    <t>로봇 구동부 부품</t>
  </si>
  <si>
    <t>P26-006</t>
  </si>
  <si>
    <t>반응기 크리닝 외주</t>
  </si>
  <si>
    <t>P26-007</t>
  </si>
  <si>
    <t>공통(관리)</t>
  </si>
  <si>
    <t>유류비</t>
  </si>
  <si>
    <t>V006</t>
  </si>
  <si>
    <t>에스오일주유소</t>
  </si>
  <si>
    <t>현장 차량 유류대</t>
  </si>
  <si>
    <t>P26-008</t>
  </si>
  <si>
    <t>미지급</t>
  </si>
  <si>
    <t>P26-009</t>
  </si>
  <si>
    <t>우수관거 준설 외주</t>
  </si>
  <si>
    <t>P26-010</t>
  </si>
  <si>
    <t>안전관리비</t>
  </si>
  <si>
    <t>V002</t>
  </si>
  <si>
    <t>한빛산업안전</t>
  </si>
  <si>
    <t>안전장비 구입(방독면 등)</t>
  </si>
  <si>
    <t>P26-011</t>
  </si>
  <si>
    <t>배관세정 외주</t>
  </si>
  <si>
    <t>P26-012</t>
  </si>
  <si>
    <t>점검로봇 정비 부품</t>
  </si>
  <si>
    <t>P26-013</t>
  </si>
  <si>
    <t>열교환기 세정 외주</t>
  </si>
  <si>
    <t>P26-014</t>
  </si>
  <si>
    <t>지급수수료</t>
  </si>
  <si>
    <t>V001</t>
  </si>
  <si>
    <t>(주)대한기계</t>
  </si>
  <si>
    <t>장비 정비 수수료</t>
  </si>
  <si>
    <t>P26-015</t>
  </si>
  <si>
    <t>준설장비 추가 임차</t>
  </si>
  <si>
    <t>거래구분</t>
  </si>
  <si>
    <t>사업자등록번호</t>
  </si>
  <si>
    <t>대표자</t>
  </si>
  <si>
    <t>업태</t>
  </si>
  <si>
    <t>종목</t>
  </si>
  <si>
    <t>담당자</t>
  </si>
  <si>
    <t>연락처</t>
  </si>
  <si>
    <t>이메일</t>
  </si>
  <si>
    <t>주소</t>
  </si>
  <si>
    <t>매출처</t>
  </si>
  <si>
    <t>제조</t>
  </si>
  <si>
    <t>석유정제</t>
  </si>
  <si>
    <t>전남 여수시</t>
  </si>
  <si>
    <t>석유화학</t>
  </si>
  <si>
    <t>화학</t>
  </si>
  <si>
    <t>공공행정</t>
  </si>
  <si>
    <t>지방자치</t>
  </si>
  <si>
    <t>충남 서산시</t>
  </si>
  <si>
    <t>매입처</t>
  </si>
  <si>
    <t>제조·서비스</t>
  </si>
  <si>
    <t>기계정비</t>
  </si>
  <si>
    <t>도소매</t>
  </si>
  <si>
    <t>안전용품</t>
  </si>
  <si>
    <t>서비스</t>
  </si>
  <si>
    <t>운송·장비임대</t>
  </si>
  <si>
    <t>로봇부품</t>
  </si>
  <si>
    <t>인력공급</t>
  </si>
  <si>
    <t>유류</t>
  </si>
  <si>
    <t>화학약품</t>
  </si>
  <si>
    <t>발주처코드</t>
  </si>
  <si>
    <t>발주처명</t>
  </si>
  <si>
    <t>현장위치</t>
  </si>
  <si>
    <t>계약일</t>
  </si>
  <si>
    <t>착공일</t>
  </si>
  <si>
    <t>준공예정일</t>
  </si>
  <si>
    <t>계약금액(공급가)</t>
  </si>
  <si>
    <t>진행상태</t>
  </si>
  <si>
    <t>현장책임자</t>
  </si>
  <si>
    <t>준공</t>
  </si>
  <si>
    <t>김현장</t>
  </si>
  <si>
    <t>박정밀</t>
  </si>
  <si>
    <t>진행중</t>
  </si>
  <si>
    <t>이준설</t>
  </si>
  <si>
    <t>정산완료</t>
  </si>
  <si>
    <t>최로봇</t>
  </si>
  <si>
    <t>일자</t>
  </si>
  <si>
    <t>구분</t>
  </si>
  <si>
    <t>계정</t>
  </si>
  <si>
    <t>적요</t>
  </si>
  <si>
    <t>입금액</t>
  </si>
  <si>
    <t>출금액</t>
  </si>
  <si>
    <t>잔액(자동)</t>
  </si>
  <si>
    <t>계좌</t>
  </si>
  <si>
    <t>관련ID</t>
  </si>
  <si>
    <t>입금</t>
  </si>
  <si>
    <t>매출수금</t>
  </si>
  <si>
    <t>GS칼텍스 세금계산서 수금</t>
  </si>
  <si>
    <t>기업은행</t>
  </si>
  <si>
    <t>출금</t>
  </si>
  <si>
    <t>매입지급</t>
  </si>
  <si>
    <t>여수인력공사 외주비 지급</t>
  </si>
  <si>
    <t>케미컬약품 자재비 지급</t>
  </si>
  <si>
    <t>LG화학 로봇납품 수금</t>
  </si>
  <si>
    <t>여수시청 준설 부분수금</t>
  </si>
  <si>
    <t>급여지급</t>
  </si>
  <si>
    <t>2월 급여 지급</t>
  </si>
  <si>
    <t>남해로지스 장비임차료 지급</t>
  </si>
  <si>
    <t>롯데케미칼 반응기크리닝 수금</t>
  </si>
  <si>
    <t>세금납부</t>
  </si>
  <si>
    <t>부가세 예정신고 납부</t>
  </si>
  <si>
    <t>서산시청 준설 부분수금</t>
  </si>
  <si>
    <t>GS칼텍스 배관세정 수금</t>
  </si>
  <si>
    <t>일반경비</t>
  </si>
  <si>
    <t>사무실 임차료·공과금</t>
  </si>
  <si>
    <t>매입계정과목</t>
  </si>
  <si>
    <t>자금구분</t>
  </si>
  <si>
    <t>자금계정</t>
  </si>
  <si>
    <t>수주</t>
  </si>
  <si>
    <t>노무비</t>
  </si>
  <si>
    <t>매출매입</t>
  </si>
  <si>
    <t>차입금</t>
  </si>
  <si>
    <t>여비교통비</t>
  </si>
  <si>
    <t>원리금상환</t>
  </si>
  <si>
    <t>보험료</t>
  </si>
  <si>
    <t>기타</t>
  </si>
  <si>
    <t>소모품비</t>
  </si>
  <si>
    <t>세금과공과</t>
  </si>
  <si>
    <t>접대비</t>
  </si>
  <si>
    <t>기타경비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</si>
</sst>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9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B1:B31"/>
  <sheetViews>
    <sheetView showGridLines="0" tabSelected="1" workbookViewId="0"/>
  </sheetViews>
  <sheetFormatPr defaultRowHeight="16.5" x14ac:dyDescent="0.3"/>
  <cols>
    <col min="1" max="1" width="3" customWidth="1"/>
    <col min="2" max="2" width="118" customWidth="1"/>
  </cols>
  <sheetData>
    <row r="1" spans="2:2" ht="36" customHeight="1" x14ac:dyDescent="0.3">
      <c r="B1" s="1" t="s">
        <v>0</v>
      </c>
    </row>
    <row r="2" spans="2:2" x14ac:dyDescent="0.3">
      <c r="B2" s="2" t="s">
        <v>1</v>
      </c>
    </row>
    <row r="3" spans="2:2" x14ac:dyDescent="0.3">
      <c r="B3" s="2"/>
    </row>
    <row r="4" spans="2:2" ht="17.25" x14ac:dyDescent="0.3">
      <c r="B4" s="3" t="s">
        <v>2</v>
      </c>
    </row>
    <row r="5" spans="2:2" x14ac:dyDescent="0.3">
      <c r="B5" s="2" t="s">
        <v>3</v>
      </c>
    </row>
    <row r="6" spans="2:2" x14ac:dyDescent="0.3">
      <c r="B6" s="2" t="s">
        <v>4</v>
      </c>
    </row>
    <row r="7" spans="2:2" x14ac:dyDescent="0.3">
      <c r="B7" s="2" t="s">
        <v>5</v>
      </c>
    </row>
    <row r="8" spans="2:2" x14ac:dyDescent="0.3">
      <c r="B8" s="2"/>
    </row>
    <row r="9" spans="2:2" ht="17.25" x14ac:dyDescent="0.3">
      <c r="B9" s="3" t="s">
        <v>6</v>
      </c>
    </row>
    <row r="10" spans="2:2" x14ac:dyDescent="0.3">
      <c r="B10" s="2" t="s">
        <v>7</v>
      </c>
    </row>
    <row r="11" spans="2:2" x14ac:dyDescent="0.3">
      <c r="B11" s="2" t="s">
        <v>8</v>
      </c>
    </row>
    <row r="12" spans="2:2" x14ac:dyDescent="0.3">
      <c r="B12" s="2" t="s">
        <v>9</v>
      </c>
    </row>
    <row r="13" spans="2:2" x14ac:dyDescent="0.3">
      <c r="B13" s="2" t="s">
        <v>10</v>
      </c>
    </row>
    <row r="14" spans="2:2" x14ac:dyDescent="0.3">
      <c r="B14" s="2" t="s">
        <v>11</v>
      </c>
    </row>
    <row r="15" spans="2:2" x14ac:dyDescent="0.3">
      <c r="B15" s="2" t="s">
        <v>12</v>
      </c>
    </row>
    <row r="16" spans="2:2" x14ac:dyDescent="0.3">
      <c r="B16" s="2" t="s">
        <v>13</v>
      </c>
    </row>
    <row r="17" spans="2:2" x14ac:dyDescent="0.3">
      <c r="B17" s="2" t="s">
        <v>14</v>
      </c>
    </row>
    <row r="18" spans="2:2" x14ac:dyDescent="0.3">
      <c r="B18" s="2" t="s">
        <v>15</v>
      </c>
    </row>
    <row r="19" spans="2:2" x14ac:dyDescent="0.3">
      <c r="B19" s="2"/>
    </row>
    <row r="20" spans="2:2" ht="17.25" x14ac:dyDescent="0.3">
      <c r="B20" s="3" t="s">
        <v>16</v>
      </c>
    </row>
    <row r="21" spans="2:2" x14ac:dyDescent="0.3">
      <c r="B21" s="2" t="s">
        <v>17</v>
      </c>
    </row>
    <row r="22" spans="2:2" x14ac:dyDescent="0.3">
      <c r="B22" s="2" t="s">
        <v>18</v>
      </c>
    </row>
    <row r="23" spans="2:2" x14ac:dyDescent="0.3">
      <c r="B23" s="2" t="s">
        <v>19</v>
      </c>
    </row>
    <row r="24" spans="2:2" x14ac:dyDescent="0.3">
      <c r="B24" s="2" t="s">
        <v>20</v>
      </c>
    </row>
    <row r="25" spans="2:2" x14ac:dyDescent="0.3">
      <c r="B25" s="2" t="s">
        <v>21</v>
      </c>
    </row>
    <row r="26" spans="2:2" x14ac:dyDescent="0.3">
      <c r="B26" s="2" t="s">
        <v>22</v>
      </c>
    </row>
    <row r="27" spans="2:2" x14ac:dyDescent="0.3">
      <c r="B27" s="2"/>
    </row>
    <row r="28" spans="2:2" ht="17.25" x14ac:dyDescent="0.3">
      <c r="B28" s="3" t="s">
        <v>23</v>
      </c>
    </row>
    <row r="29" spans="2:2" x14ac:dyDescent="0.3">
      <c r="B29" s="2" t="s">
        <v>24</v>
      </c>
    </row>
    <row r="30" spans="2:2" x14ac:dyDescent="0.3">
      <c r="B30" s="2"/>
    </row>
    <row r="31" spans="2:2" x14ac:dyDescent="0.3">
      <c r="B31" s="4" t="s">
        <v>25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Q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12" customWidth="1"/>
    <col min="3" max="3" width="14" customWidth="1"/>
    <col min="4" max="4" width="10" customWidth="1"/>
    <col min="5" max="5" width="16" customWidth="1"/>
    <col min="6" max="6" width="10" customWidth="1"/>
    <col min="7" max="7" width="26" customWidth="1"/>
    <col min="8" max="8" width="28" customWidth="1"/>
    <col min="9" max="9" width="13" customWidth="1"/>
    <col min="10" max="10" width="12" customWidth="1"/>
    <col min="11" max="11" width="13" customWidth="1"/>
    <col min="12" max="12" width="15" customWidth="1"/>
    <col min="13" max="13" width="10" customWidth="1"/>
    <col min="14" max="16" width="13" customWidth="1"/>
    <col min="17" max="17" width="16" customWidth="1"/>
  </cols>
  <sheetData>
    <row r="1" spans="1:17" ht="30" customHeight="1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</row>
    <row r="2" spans="1:17" x14ac:dyDescent="0.3">
      <c r="A2" s="6" t="s">
        <v>43</v>
      </c>
      <c r="B2" s="7">
        <v>46037</v>
      </c>
      <c r="C2" s="8" t="s">
        <v>44</v>
      </c>
      <c r="D2" s="8" t="s">
        <v>45</v>
      </c>
      <c r="E2" s="6" t="s">
        <v>46</v>
      </c>
      <c r="F2" s="8" t="s">
        <v>47</v>
      </c>
      <c r="G2" s="6" t="s">
        <v>48</v>
      </c>
      <c r="H2" s="6" t="s">
        <v>49</v>
      </c>
      <c r="I2" s="9">
        <v>48000000</v>
      </c>
      <c r="J2" s="10">
        <f t="shared" ref="J2:J11" si="0">ROUND(I2*0.1,0)</f>
        <v>4800000</v>
      </c>
      <c r="K2" s="10">
        <f t="shared" ref="K2:K11" si="1">I2+J2</f>
        <v>52800000</v>
      </c>
      <c r="L2" s="7">
        <v>46053</v>
      </c>
      <c r="M2" s="8" t="s">
        <v>50</v>
      </c>
      <c r="N2" s="9">
        <v>52800000</v>
      </c>
      <c r="O2" s="10">
        <f t="shared" ref="O2:O11" si="2">K2-N2</f>
        <v>0</v>
      </c>
      <c r="P2" s="7">
        <v>46081</v>
      </c>
      <c r="Q2" s="6"/>
    </row>
    <row r="3" spans="1:17" x14ac:dyDescent="0.3">
      <c r="A3" s="6" t="s">
        <v>51</v>
      </c>
      <c r="B3" s="7">
        <v>46063</v>
      </c>
      <c r="C3" s="8" t="s">
        <v>52</v>
      </c>
      <c r="D3" s="8" t="s">
        <v>53</v>
      </c>
      <c r="E3" s="6" t="s">
        <v>54</v>
      </c>
      <c r="F3" s="8" t="s">
        <v>55</v>
      </c>
      <c r="G3" s="6" t="s">
        <v>56</v>
      </c>
      <c r="H3" s="6" t="s">
        <v>57</v>
      </c>
      <c r="I3" s="9">
        <v>63000000</v>
      </c>
      <c r="J3" s="10">
        <f t="shared" si="0"/>
        <v>6300000</v>
      </c>
      <c r="K3" s="10">
        <f t="shared" si="1"/>
        <v>69300000</v>
      </c>
      <c r="L3" s="7">
        <v>46081</v>
      </c>
      <c r="M3" s="8" t="s">
        <v>58</v>
      </c>
      <c r="N3" s="9">
        <v>30000000</v>
      </c>
      <c r="O3" s="10">
        <f t="shared" si="2"/>
        <v>39300000</v>
      </c>
      <c r="P3" s="7">
        <v>46112</v>
      </c>
      <c r="Q3" s="6"/>
    </row>
    <row r="4" spans="1:17" x14ac:dyDescent="0.3">
      <c r="A4" s="6" t="s">
        <v>59</v>
      </c>
      <c r="B4" s="7">
        <v>46073</v>
      </c>
      <c r="C4" s="8" t="s">
        <v>60</v>
      </c>
      <c r="D4" s="8" t="s">
        <v>61</v>
      </c>
      <c r="E4" s="6" t="s">
        <v>62</v>
      </c>
      <c r="F4" s="8" t="s">
        <v>63</v>
      </c>
      <c r="G4" s="6" t="s">
        <v>64</v>
      </c>
      <c r="H4" s="6" t="s">
        <v>65</v>
      </c>
      <c r="I4" s="9">
        <v>120000000</v>
      </c>
      <c r="J4" s="10">
        <f t="shared" si="0"/>
        <v>12000000</v>
      </c>
      <c r="K4" s="10">
        <f t="shared" si="1"/>
        <v>132000000</v>
      </c>
      <c r="L4" s="7">
        <v>46081</v>
      </c>
      <c r="M4" s="8" t="s">
        <v>50</v>
      </c>
      <c r="N4" s="9">
        <v>132000000</v>
      </c>
      <c r="O4" s="10">
        <f t="shared" si="2"/>
        <v>0</v>
      </c>
      <c r="P4" s="7">
        <v>46096</v>
      </c>
      <c r="Q4" s="6"/>
    </row>
    <row r="5" spans="1:17" x14ac:dyDescent="0.3">
      <c r="A5" s="6" t="s">
        <v>66</v>
      </c>
      <c r="B5" s="7">
        <v>46093</v>
      </c>
      <c r="C5" s="8" t="s">
        <v>44</v>
      </c>
      <c r="D5" s="8" t="s">
        <v>67</v>
      </c>
      <c r="E5" s="6" t="s">
        <v>68</v>
      </c>
      <c r="F5" s="8" t="s">
        <v>69</v>
      </c>
      <c r="G5" s="6" t="s">
        <v>70</v>
      </c>
      <c r="H5" s="6" t="s">
        <v>71</v>
      </c>
      <c r="I5" s="9">
        <v>37000000</v>
      </c>
      <c r="J5" s="10">
        <f t="shared" si="0"/>
        <v>3700000</v>
      </c>
      <c r="K5" s="10">
        <f t="shared" si="1"/>
        <v>40700000</v>
      </c>
      <c r="L5" s="7">
        <v>46112</v>
      </c>
      <c r="M5" s="8" t="s">
        <v>50</v>
      </c>
      <c r="N5" s="9">
        <v>40700000</v>
      </c>
      <c r="O5" s="10">
        <f t="shared" si="2"/>
        <v>0</v>
      </c>
      <c r="P5" s="7">
        <v>46142</v>
      </c>
      <c r="Q5" s="6"/>
    </row>
    <row r="6" spans="1:17" x14ac:dyDescent="0.3">
      <c r="A6" s="6" t="s">
        <v>72</v>
      </c>
      <c r="B6" s="7">
        <v>46106</v>
      </c>
      <c r="C6" s="8" t="s">
        <v>44</v>
      </c>
      <c r="D6" s="8" t="s">
        <v>73</v>
      </c>
      <c r="E6" s="6" t="s">
        <v>74</v>
      </c>
      <c r="F6" s="8" t="s">
        <v>75</v>
      </c>
      <c r="G6" s="6" t="s">
        <v>76</v>
      </c>
      <c r="H6" s="6" t="s">
        <v>77</v>
      </c>
      <c r="I6" s="9">
        <v>29500000</v>
      </c>
      <c r="J6" s="10">
        <f t="shared" si="0"/>
        <v>2950000</v>
      </c>
      <c r="K6" s="10">
        <f t="shared" si="1"/>
        <v>32450000</v>
      </c>
      <c r="L6" s="7">
        <v>46112</v>
      </c>
      <c r="M6" s="8" t="s">
        <v>78</v>
      </c>
      <c r="N6" s="9"/>
      <c r="O6" s="10">
        <f t="shared" si="2"/>
        <v>32450000</v>
      </c>
      <c r="P6" s="7">
        <v>46173</v>
      </c>
      <c r="Q6" s="6"/>
    </row>
    <row r="7" spans="1:17" x14ac:dyDescent="0.3">
      <c r="A7" s="6" t="s">
        <v>79</v>
      </c>
      <c r="B7" s="7">
        <v>46130</v>
      </c>
      <c r="C7" s="8" t="s">
        <v>52</v>
      </c>
      <c r="D7" s="8" t="s">
        <v>80</v>
      </c>
      <c r="E7" s="6" t="s">
        <v>81</v>
      </c>
      <c r="F7" s="8" t="s">
        <v>82</v>
      </c>
      <c r="G7" s="6" t="s">
        <v>83</v>
      </c>
      <c r="H7" s="6" t="s">
        <v>84</v>
      </c>
      <c r="I7" s="9">
        <v>41000000</v>
      </c>
      <c r="J7" s="10">
        <f t="shared" si="0"/>
        <v>4100000</v>
      </c>
      <c r="K7" s="10">
        <f t="shared" si="1"/>
        <v>45100000</v>
      </c>
      <c r="L7" s="7">
        <v>46142</v>
      </c>
      <c r="M7" s="8" t="s">
        <v>58</v>
      </c>
      <c r="N7" s="9">
        <v>20000000</v>
      </c>
      <c r="O7" s="10">
        <f t="shared" si="2"/>
        <v>25100000</v>
      </c>
      <c r="P7" s="7">
        <v>46173</v>
      </c>
      <c r="Q7" s="6"/>
    </row>
    <row r="8" spans="1:17" x14ac:dyDescent="0.3">
      <c r="A8" s="6" t="s">
        <v>85</v>
      </c>
      <c r="B8" s="7">
        <v>46151</v>
      </c>
      <c r="C8" s="8" t="s">
        <v>44</v>
      </c>
      <c r="D8" s="8" t="s">
        <v>45</v>
      </c>
      <c r="E8" s="6" t="s">
        <v>46</v>
      </c>
      <c r="F8" s="8" t="s">
        <v>86</v>
      </c>
      <c r="G8" s="6" t="s">
        <v>87</v>
      </c>
      <c r="H8" s="6" t="s">
        <v>88</v>
      </c>
      <c r="I8" s="9">
        <v>26000000</v>
      </c>
      <c r="J8" s="10">
        <f t="shared" si="0"/>
        <v>2600000</v>
      </c>
      <c r="K8" s="10">
        <f t="shared" si="1"/>
        <v>28600000</v>
      </c>
      <c r="L8" s="7">
        <v>46173</v>
      </c>
      <c r="M8" s="8" t="s">
        <v>50</v>
      </c>
      <c r="N8" s="9">
        <v>28600000</v>
      </c>
      <c r="O8" s="10">
        <f t="shared" si="2"/>
        <v>0</v>
      </c>
      <c r="P8" s="7">
        <v>46203</v>
      </c>
      <c r="Q8" s="6"/>
    </row>
    <row r="9" spans="1:17" x14ac:dyDescent="0.3">
      <c r="A9" s="6" t="s">
        <v>89</v>
      </c>
      <c r="B9" s="7">
        <v>46164</v>
      </c>
      <c r="C9" s="8" t="s">
        <v>60</v>
      </c>
      <c r="D9" s="8" t="s">
        <v>67</v>
      </c>
      <c r="E9" s="6" t="s">
        <v>68</v>
      </c>
      <c r="F9" s="8" t="s">
        <v>90</v>
      </c>
      <c r="G9" s="6" t="s">
        <v>91</v>
      </c>
      <c r="H9" s="6" t="s">
        <v>92</v>
      </c>
      <c r="I9" s="9">
        <v>18000000</v>
      </c>
      <c r="J9" s="10">
        <f t="shared" si="0"/>
        <v>1800000</v>
      </c>
      <c r="K9" s="10">
        <f t="shared" si="1"/>
        <v>19800000</v>
      </c>
      <c r="L9" s="7">
        <v>46173</v>
      </c>
      <c r="M9" s="8" t="s">
        <v>78</v>
      </c>
      <c r="N9" s="9"/>
      <c r="O9" s="10">
        <f t="shared" si="2"/>
        <v>19800000</v>
      </c>
      <c r="P9" s="7">
        <v>46234</v>
      </c>
      <c r="Q9" s="6"/>
    </row>
    <row r="10" spans="1:17" x14ac:dyDescent="0.3">
      <c r="A10" s="6" t="s">
        <v>93</v>
      </c>
      <c r="B10" s="7">
        <v>46184</v>
      </c>
      <c r="C10" s="8" t="s">
        <v>44</v>
      </c>
      <c r="D10" s="8" t="s">
        <v>61</v>
      </c>
      <c r="E10" s="6" t="s">
        <v>62</v>
      </c>
      <c r="F10" s="8" t="s">
        <v>94</v>
      </c>
      <c r="G10" s="6" t="s">
        <v>95</v>
      </c>
      <c r="H10" s="6" t="s">
        <v>96</v>
      </c>
      <c r="I10" s="9">
        <v>33500000</v>
      </c>
      <c r="J10" s="10">
        <f t="shared" si="0"/>
        <v>3350000</v>
      </c>
      <c r="K10" s="10">
        <f t="shared" si="1"/>
        <v>36850000</v>
      </c>
      <c r="L10" s="7">
        <v>46203</v>
      </c>
      <c r="M10" s="8" t="s">
        <v>78</v>
      </c>
      <c r="N10" s="9"/>
      <c r="O10" s="10">
        <f t="shared" si="2"/>
        <v>36850000</v>
      </c>
      <c r="P10" s="7">
        <v>46234</v>
      </c>
      <c r="Q10" s="6"/>
    </row>
    <row r="11" spans="1:17" x14ac:dyDescent="0.3">
      <c r="A11" s="6" t="s">
        <v>97</v>
      </c>
      <c r="B11" s="7">
        <v>46200</v>
      </c>
      <c r="C11" s="8" t="s">
        <v>52</v>
      </c>
      <c r="D11" s="8" t="s">
        <v>53</v>
      </c>
      <c r="E11" s="6" t="s">
        <v>54</v>
      </c>
      <c r="F11" s="8" t="s">
        <v>55</v>
      </c>
      <c r="G11" s="6" t="s">
        <v>98</v>
      </c>
      <c r="H11" s="6" t="s">
        <v>99</v>
      </c>
      <c r="I11" s="9">
        <v>22000000</v>
      </c>
      <c r="J11" s="10">
        <f t="shared" si="0"/>
        <v>2200000</v>
      </c>
      <c r="K11" s="10">
        <f t="shared" si="1"/>
        <v>24200000</v>
      </c>
      <c r="L11" s="7"/>
      <c r="M11" s="8" t="s">
        <v>78</v>
      </c>
      <c r="N11" s="9"/>
      <c r="O11" s="10">
        <f t="shared" si="2"/>
        <v>24200000</v>
      </c>
      <c r="P11" s="7">
        <v>46265</v>
      </c>
      <c r="Q11" s="6"/>
    </row>
  </sheetData>
  <autoFilter ref="A1:Q1"/>
  <phoneticPr fontId="8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확인" error="목록에 없는 값입니다. 그래도 사용하려면 '예'를 누르세요.">
          <x14:formula1>
            <xm:f>설정!$A$2:$A$5</xm:f>
          </x14:formula1>
          <xm:sqref>C2:C2000</xm:sqref>
        </x14:dataValidation>
        <x14:dataValidation type="list" errorStyle="warning" allowBlank="1" showErrorMessage="1" errorTitle="확인" error="목록에 없는 값입니다. 그래도 사용하려면 '예'를 누르세요.">
          <x14:formula1>
            <xm:f>설정!$C$2:$C$4</xm:f>
          </x14:formula1>
          <xm:sqref>M2:M2000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R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customWidth="1"/>
    <col min="2" max="2" width="12" customWidth="1"/>
    <col min="3" max="3" width="14" customWidth="1"/>
    <col min="4" max="4" width="11" customWidth="1"/>
    <col min="5" max="5" width="10" customWidth="1"/>
    <col min="6" max="6" width="16" customWidth="1"/>
    <col min="7" max="7" width="10" customWidth="1"/>
    <col min="8" max="9" width="24" customWidth="1"/>
    <col min="10" max="10" width="13" customWidth="1"/>
    <col min="11" max="11" width="12" customWidth="1"/>
    <col min="12" max="12" width="13" customWidth="1"/>
    <col min="13" max="13" width="15" customWidth="1"/>
    <col min="14" max="14" width="10" customWidth="1"/>
    <col min="15" max="17" width="13" customWidth="1"/>
    <col min="18" max="18" width="14" customWidth="1"/>
  </cols>
  <sheetData>
    <row r="1" spans="1:18" ht="30" customHeight="1" x14ac:dyDescent="0.3">
      <c r="A1" s="5" t="s">
        <v>100</v>
      </c>
      <c r="B1" s="5" t="s">
        <v>27</v>
      </c>
      <c r="C1" s="5" t="s">
        <v>28</v>
      </c>
      <c r="D1" s="5" t="s">
        <v>101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42</v>
      </c>
    </row>
    <row r="2" spans="1:18" x14ac:dyDescent="0.3">
      <c r="A2" s="6" t="s">
        <v>107</v>
      </c>
      <c r="B2" s="7">
        <v>46034</v>
      </c>
      <c r="C2" s="8" t="s">
        <v>44</v>
      </c>
      <c r="D2" s="8" t="s">
        <v>108</v>
      </c>
      <c r="E2" s="8" t="s">
        <v>109</v>
      </c>
      <c r="F2" s="6" t="s">
        <v>110</v>
      </c>
      <c r="G2" s="8" t="s">
        <v>47</v>
      </c>
      <c r="H2" s="6" t="s">
        <v>48</v>
      </c>
      <c r="I2" s="6" t="s">
        <v>111</v>
      </c>
      <c r="J2" s="9">
        <v>18000000</v>
      </c>
      <c r="K2" s="10">
        <f t="shared" ref="K2:K16" si="0">ROUND(J2*0.1,0)</f>
        <v>1800000</v>
      </c>
      <c r="L2" s="10">
        <f t="shared" ref="L2:L16" si="1">J2+K2</f>
        <v>19800000</v>
      </c>
      <c r="M2" s="7">
        <v>46053</v>
      </c>
      <c r="N2" s="8" t="s">
        <v>112</v>
      </c>
      <c r="O2" s="9">
        <v>19800000</v>
      </c>
      <c r="P2" s="10">
        <f t="shared" ref="P2:P16" si="2">L2-O2</f>
        <v>0</v>
      </c>
      <c r="Q2" s="7">
        <v>46081</v>
      </c>
      <c r="R2" s="6"/>
    </row>
    <row r="3" spans="1:18" x14ac:dyDescent="0.3">
      <c r="A3" s="6" t="s">
        <v>113</v>
      </c>
      <c r="B3" s="7">
        <v>46035</v>
      </c>
      <c r="C3" s="8" t="s">
        <v>44</v>
      </c>
      <c r="D3" s="8" t="s">
        <v>114</v>
      </c>
      <c r="E3" s="8" t="s">
        <v>115</v>
      </c>
      <c r="F3" s="6" t="s">
        <v>116</v>
      </c>
      <c r="G3" s="8" t="s">
        <v>47</v>
      </c>
      <c r="H3" s="6" t="s">
        <v>48</v>
      </c>
      <c r="I3" s="6" t="s">
        <v>117</v>
      </c>
      <c r="J3" s="9">
        <v>6500000</v>
      </c>
      <c r="K3" s="10">
        <f t="shared" si="0"/>
        <v>650000</v>
      </c>
      <c r="L3" s="10">
        <f t="shared" si="1"/>
        <v>7150000</v>
      </c>
      <c r="M3" s="7">
        <v>46053</v>
      </c>
      <c r="N3" s="8" t="s">
        <v>112</v>
      </c>
      <c r="O3" s="9">
        <v>7150000</v>
      </c>
      <c r="P3" s="10">
        <f t="shared" si="2"/>
        <v>0</v>
      </c>
      <c r="Q3" s="7">
        <v>46081</v>
      </c>
      <c r="R3" s="6"/>
    </row>
    <row r="4" spans="1:18" x14ac:dyDescent="0.3">
      <c r="A4" s="6" t="s">
        <v>118</v>
      </c>
      <c r="B4" s="7">
        <v>46058</v>
      </c>
      <c r="C4" s="8" t="s">
        <v>52</v>
      </c>
      <c r="D4" s="8" t="s">
        <v>119</v>
      </c>
      <c r="E4" s="8" t="s">
        <v>120</v>
      </c>
      <c r="F4" s="6" t="s">
        <v>121</v>
      </c>
      <c r="G4" s="8" t="s">
        <v>55</v>
      </c>
      <c r="H4" s="6" t="s">
        <v>56</v>
      </c>
      <c r="I4" s="6" t="s">
        <v>122</v>
      </c>
      <c r="J4" s="9">
        <v>9000000</v>
      </c>
      <c r="K4" s="10">
        <f t="shared" si="0"/>
        <v>900000</v>
      </c>
      <c r="L4" s="10">
        <f t="shared" si="1"/>
        <v>9900000</v>
      </c>
      <c r="M4" s="7">
        <v>46081</v>
      </c>
      <c r="N4" s="8" t="s">
        <v>112</v>
      </c>
      <c r="O4" s="9">
        <v>9900000</v>
      </c>
      <c r="P4" s="10">
        <f t="shared" si="2"/>
        <v>0</v>
      </c>
      <c r="Q4" s="7">
        <v>46112</v>
      </c>
      <c r="R4" s="6"/>
    </row>
    <row r="5" spans="1:18" x14ac:dyDescent="0.3">
      <c r="A5" s="6" t="s">
        <v>123</v>
      </c>
      <c r="B5" s="7">
        <v>46060</v>
      </c>
      <c r="C5" s="8" t="s">
        <v>52</v>
      </c>
      <c r="D5" s="8" t="s">
        <v>108</v>
      </c>
      <c r="E5" s="8" t="s">
        <v>109</v>
      </c>
      <c r="F5" s="6" t="s">
        <v>110</v>
      </c>
      <c r="G5" s="8" t="s">
        <v>55</v>
      </c>
      <c r="H5" s="6" t="s">
        <v>56</v>
      </c>
      <c r="I5" s="6" t="s">
        <v>124</v>
      </c>
      <c r="J5" s="9">
        <v>12000000</v>
      </c>
      <c r="K5" s="10">
        <f t="shared" si="0"/>
        <v>1200000</v>
      </c>
      <c r="L5" s="10">
        <f t="shared" si="1"/>
        <v>13200000</v>
      </c>
      <c r="M5" s="7">
        <v>46081</v>
      </c>
      <c r="N5" s="8" t="s">
        <v>125</v>
      </c>
      <c r="O5" s="9">
        <v>6000000</v>
      </c>
      <c r="P5" s="10">
        <f t="shared" si="2"/>
        <v>7200000</v>
      </c>
      <c r="Q5" s="7">
        <v>46112</v>
      </c>
      <c r="R5" s="6"/>
    </row>
    <row r="6" spans="1:18" x14ac:dyDescent="0.3">
      <c r="A6" s="6" t="s">
        <v>126</v>
      </c>
      <c r="B6" s="7">
        <v>46071</v>
      </c>
      <c r="C6" s="8" t="s">
        <v>60</v>
      </c>
      <c r="D6" s="8" t="s">
        <v>114</v>
      </c>
      <c r="E6" s="8" t="s">
        <v>127</v>
      </c>
      <c r="F6" s="6" t="s">
        <v>128</v>
      </c>
      <c r="G6" s="8" t="s">
        <v>63</v>
      </c>
      <c r="H6" s="6" t="s">
        <v>64</v>
      </c>
      <c r="I6" s="6" t="s">
        <v>129</v>
      </c>
      <c r="J6" s="9">
        <v>35000000</v>
      </c>
      <c r="K6" s="10">
        <f t="shared" si="0"/>
        <v>3500000</v>
      </c>
      <c r="L6" s="10">
        <f t="shared" si="1"/>
        <v>38500000</v>
      </c>
      <c r="M6" s="7">
        <v>46081</v>
      </c>
      <c r="N6" s="8" t="s">
        <v>112</v>
      </c>
      <c r="O6" s="9">
        <v>38500000</v>
      </c>
      <c r="P6" s="10">
        <f t="shared" si="2"/>
        <v>0</v>
      </c>
      <c r="Q6" s="7">
        <v>46112</v>
      </c>
      <c r="R6" s="6"/>
    </row>
    <row r="7" spans="1:18" x14ac:dyDescent="0.3">
      <c r="A7" s="6" t="s">
        <v>130</v>
      </c>
      <c r="B7" s="7">
        <v>46091</v>
      </c>
      <c r="C7" s="8" t="s">
        <v>44</v>
      </c>
      <c r="D7" s="8" t="s">
        <v>108</v>
      </c>
      <c r="E7" s="8" t="s">
        <v>109</v>
      </c>
      <c r="F7" s="6" t="s">
        <v>110</v>
      </c>
      <c r="G7" s="8" t="s">
        <v>69</v>
      </c>
      <c r="H7" s="6" t="s">
        <v>70</v>
      </c>
      <c r="I7" s="6" t="s">
        <v>131</v>
      </c>
      <c r="J7" s="9">
        <v>10000000</v>
      </c>
      <c r="K7" s="10">
        <f t="shared" si="0"/>
        <v>1000000</v>
      </c>
      <c r="L7" s="10">
        <f t="shared" si="1"/>
        <v>11000000</v>
      </c>
      <c r="M7" s="7">
        <v>46112</v>
      </c>
      <c r="N7" s="8" t="s">
        <v>112</v>
      </c>
      <c r="O7" s="9">
        <v>11000000</v>
      </c>
      <c r="P7" s="10">
        <f t="shared" si="2"/>
        <v>0</v>
      </c>
      <c r="Q7" s="7">
        <v>46142</v>
      </c>
      <c r="R7" s="6"/>
    </row>
    <row r="8" spans="1:18" x14ac:dyDescent="0.3">
      <c r="A8" s="6" t="s">
        <v>132</v>
      </c>
      <c r="B8" s="7">
        <v>46092</v>
      </c>
      <c r="C8" s="8" t="s">
        <v>133</v>
      </c>
      <c r="D8" s="8" t="s">
        <v>134</v>
      </c>
      <c r="E8" s="8" t="s">
        <v>135</v>
      </c>
      <c r="F8" s="6" t="s">
        <v>136</v>
      </c>
      <c r="G8" s="8"/>
      <c r="H8" s="6"/>
      <c r="I8" s="6" t="s">
        <v>137</v>
      </c>
      <c r="J8" s="9">
        <v>1800000</v>
      </c>
      <c r="K8" s="10">
        <f t="shared" si="0"/>
        <v>180000</v>
      </c>
      <c r="L8" s="10">
        <f t="shared" si="1"/>
        <v>1980000</v>
      </c>
      <c r="M8" s="7">
        <v>46112</v>
      </c>
      <c r="N8" s="8" t="s">
        <v>112</v>
      </c>
      <c r="O8" s="9">
        <v>1980000</v>
      </c>
      <c r="P8" s="10">
        <f t="shared" si="2"/>
        <v>0</v>
      </c>
      <c r="Q8" s="7">
        <v>46142</v>
      </c>
      <c r="R8" s="6"/>
    </row>
    <row r="9" spans="1:18" x14ac:dyDescent="0.3">
      <c r="A9" s="6" t="s">
        <v>138</v>
      </c>
      <c r="B9" s="7">
        <v>46105</v>
      </c>
      <c r="C9" s="8" t="s">
        <v>44</v>
      </c>
      <c r="D9" s="8" t="s">
        <v>114</v>
      </c>
      <c r="E9" s="8" t="s">
        <v>115</v>
      </c>
      <c r="F9" s="6" t="s">
        <v>116</v>
      </c>
      <c r="G9" s="8" t="s">
        <v>75</v>
      </c>
      <c r="H9" s="6" t="s">
        <v>76</v>
      </c>
      <c r="I9" s="6" t="s">
        <v>117</v>
      </c>
      <c r="J9" s="9">
        <v>4200000</v>
      </c>
      <c r="K9" s="10">
        <f t="shared" si="0"/>
        <v>420000</v>
      </c>
      <c r="L9" s="10">
        <f t="shared" si="1"/>
        <v>4620000</v>
      </c>
      <c r="M9" s="7">
        <v>46112</v>
      </c>
      <c r="N9" s="8" t="s">
        <v>139</v>
      </c>
      <c r="O9" s="9"/>
      <c r="P9" s="10">
        <f t="shared" si="2"/>
        <v>4620000</v>
      </c>
      <c r="Q9" s="7">
        <v>46173</v>
      </c>
      <c r="R9" s="6"/>
    </row>
    <row r="10" spans="1:18" x14ac:dyDescent="0.3">
      <c r="A10" s="6" t="s">
        <v>140</v>
      </c>
      <c r="B10" s="7">
        <v>46127</v>
      </c>
      <c r="C10" s="8" t="s">
        <v>52</v>
      </c>
      <c r="D10" s="8" t="s">
        <v>108</v>
      </c>
      <c r="E10" s="8" t="s">
        <v>109</v>
      </c>
      <c r="F10" s="6" t="s">
        <v>110</v>
      </c>
      <c r="G10" s="8" t="s">
        <v>82</v>
      </c>
      <c r="H10" s="6" t="s">
        <v>83</v>
      </c>
      <c r="I10" s="6" t="s">
        <v>141</v>
      </c>
      <c r="J10" s="9">
        <v>11000000</v>
      </c>
      <c r="K10" s="10">
        <f t="shared" si="0"/>
        <v>1100000</v>
      </c>
      <c r="L10" s="10">
        <f t="shared" si="1"/>
        <v>12100000</v>
      </c>
      <c r="M10" s="7">
        <v>46142</v>
      </c>
      <c r="N10" s="8" t="s">
        <v>125</v>
      </c>
      <c r="O10" s="9">
        <v>5000000</v>
      </c>
      <c r="P10" s="10">
        <f t="shared" si="2"/>
        <v>7100000</v>
      </c>
      <c r="Q10" s="7">
        <v>46173</v>
      </c>
      <c r="R10" s="6"/>
    </row>
    <row r="11" spans="1:18" x14ac:dyDescent="0.3">
      <c r="A11" s="6" t="s">
        <v>142</v>
      </c>
      <c r="B11" s="7">
        <v>46132</v>
      </c>
      <c r="C11" s="8" t="s">
        <v>133</v>
      </c>
      <c r="D11" s="8" t="s">
        <v>143</v>
      </c>
      <c r="E11" s="8" t="s">
        <v>144</v>
      </c>
      <c r="F11" s="6" t="s">
        <v>145</v>
      </c>
      <c r="G11" s="8"/>
      <c r="H11" s="6"/>
      <c r="I11" s="6" t="s">
        <v>146</v>
      </c>
      <c r="J11" s="9">
        <v>3300000</v>
      </c>
      <c r="K11" s="10">
        <f t="shared" si="0"/>
        <v>330000</v>
      </c>
      <c r="L11" s="10">
        <f t="shared" si="1"/>
        <v>3630000</v>
      </c>
      <c r="M11" s="7">
        <v>46142</v>
      </c>
      <c r="N11" s="8" t="s">
        <v>112</v>
      </c>
      <c r="O11" s="9">
        <v>3630000</v>
      </c>
      <c r="P11" s="10">
        <f t="shared" si="2"/>
        <v>0</v>
      </c>
      <c r="Q11" s="7">
        <v>46173</v>
      </c>
      <c r="R11" s="6"/>
    </row>
    <row r="12" spans="1:18" x14ac:dyDescent="0.3">
      <c r="A12" s="6" t="s">
        <v>147</v>
      </c>
      <c r="B12" s="7">
        <v>46150</v>
      </c>
      <c r="C12" s="8" t="s">
        <v>44</v>
      </c>
      <c r="D12" s="8" t="s">
        <v>108</v>
      </c>
      <c r="E12" s="8" t="s">
        <v>109</v>
      </c>
      <c r="F12" s="6" t="s">
        <v>110</v>
      </c>
      <c r="G12" s="8" t="s">
        <v>86</v>
      </c>
      <c r="H12" s="6" t="s">
        <v>87</v>
      </c>
      <c r="I12" s="6" t="s">
        <v>148</v>
      </c>
      <c r="J12" s="9">
        <v>8000000</v>
      </c>
      <c r="K12" s="10">
        <f t="shared" si="0"/>
        <v>800000</v>
      </c>
      <c r="L12" s="10">
        <f t="shared" si="1"/>
        <v>8800000</v>
      </c>
      <c r="M12" s="7">
        <v>46173</v>
      </c>
      <c r="N12" s="8" t="s">
        <v>112</v>
      </c>
      <c r="O12" s="9">
        <v>8800000</v>
      </c>
      <c r="P12" s="10">
        <f t="shared" si="2"/>
        <v>0</v>
      </c>
      <c r="Q12" s="7">
        <v>46203</v>
      </c>
      <c r="R12" s="6"/>
    </row>
    <row r="13" spans="1:18" x14ac:dyDescent="0.3">
      <c r="A13" s="6" t="s">
        <v>149</v>
      </c>
      <c r="B13" s="7">
        <v>46164</v>
      </c>
      <c r="C13" s="8" t="s">
        <v>60</v>
      </c>
      <c r="D13" s="8" t="s">
        <v>114</v>
      </c>
      <c r="E13" s="8" t="s">
        <v>127</v>
      </c>
      <c r="F13" s="6" t="s">
        <v>128</v>
      </c>
      <c r="G13" s="8" t="s">
        <v>90</v>
      </c>
      <c r="H13" s="6" t="s">
        <v>91</v>
      </c>
      <c r="I13" s="6" t="s">
        <v>150</v>
      </c>
      <c r="J13" s="9">
        <v>4500000</v>
      </c>
      <c r="K13" s="10">
        <f t="shared" si="0"/>
        <v>450000</v>
      </c>
      <c r="L13" s="10">
        <f t="shared" si="1"/>
        <v>4950000</v>
      </c>
      <c r="M13" s="7">
        <v>46173</v>
      </c>
      <c r="N13" s="8" t="s">
        <v>139</v>
      </c>
      <c r="O13" s="9"/>
      <c r="P13" s="10">
        <f t="shared" si="2"/>
        <v>4950000</v>
      </c>
      <c r="Q13" s="7">
        <v>46203</v>
      </c>
      <c r="R13" s="6"/>
    </row>
    <row r="14" spans="1:18" x14ac:dyDescent="0.3">
      <c r="A14" s="6" t="s">
        <v>151</v>
      </c>
      <c r="B14" s="7">
        <v>46183</v>
      </c>
      <c r="C14" s="8" t="s">
        <v>44</v>
      </c>
      <c r="D14" s="8" t="s">
        <v>108</v>
      </c>
      <c r="E14" s="8" t="s">
        <v>109</v>
      </c>
      <c r="F14" s="6" t="s">
        <v>110</v>
      </c>
      <c r="G14" s="8" t="s">
        <v>94</v>
      </c>
      <c r="H14" s="6" t="s">
        <v>95</v>
      </c>
      <c r="I14" s="6" t="s">
        <v>152</v>
      </c>
      <c r="J14" s="9">
        <v>9500000</v>
      </c>
      <c r="K14" s="10">
        <f t="shared" si="0"/>
        <v>950000</v>
      </c>
      <c r="L14" s="10">
        <f t="shared" si="1"/>
        <v>10450000</v>
      </c>
      <c r="M14" s="7">
        <v>46203</v>
      </c>
      <c r="N14" s="8" t="s">
        <v>139</v>
      </c>
      <c r="O14" s="9"/>
      <c r="P14" s="10">
        <f t="shared" si="2"/>
        <v>10450000</v>
      </c>
      <c r="Q14" s="7">
        <v>46234</v>
      </c>
      <c r="R14" s="6"/>
    </row>
    <row r="15" spans="1:18" x14ac:dyDescent="0.3">
      <c r="A15" s="6" t="s">
        <v>153</v>
      </c>
      <c r="B15" s="7">
        <v>46185</v>
      </c>
      <c r="C15" s="8" t="s">
        <v>133</v>
      </c>
      <c r="D15" s="8" t="s">
        <v>154</v>
      </c>
      <c r="E15" s="8" t="s">
        <v>155</v>
      </c>
      <c r="F15" s="6" t="s">
        <v>156</v>
      </c>
      <c r="G15" s="8"/>
      <c r="H15" s="6"/>
      <c r="I15" s="6" t="s">
        <v>157</v>
      </c>
      <c r="J15" s="9">
        <v>2200000</v>
      </c>
      <c r="K15" s="10">
        <f t="shared" si="0"/>
        <v>220000</v>
      </c>
      <c r="L15" s="10">
        <f t="shared" si="1"/>
        <v>2420000</v>
      </c>
      <c r="M15" s="7">
        <v>46203</v>
      </c>
      <c r="N15" s="8" t="s">
        <v>112</v>
      </c>
      <c r="O15" s="9">
        <v>2420000</v>
      </c>
      <c r="P15" s="10">
        <f t="shared" si="2"/>
        <v>0</v>
      </c>
      <c r="Q15" s="7">
        <v>46234</v>
      </c>
      <c r="R15" s="6"/>
    </row>
    <row r="16" spans="1:18" x14ac:dyDescent="0.3">
      <c r="A16" s="6" t="s">
        <v>158</v>
      </c>
      <c r="B16" s="7">
        <v>46198</v>
      </c>
      <c r="C16" s="8" t="s">
        <v>52</v>
      </c>
      <c r="D16" s="8" t="s">
        <v>119</v>
      </c>
      <c r="E16" s="8" t="s">
        <v>120</v>
      </c>
      <c r="F16" s="6" t="s">
        <v>121</v>
      </c>
      <c r="G16" s="8" t="s">
        <v>55</v>
      </c>
      <c r="H16" s="6" t="s">
        <v>56</v>
      </c>
      <c r="I16" s="6" t="s">
        <v>159</v>
      </c>
      <c r="J16" s="9">
        <v>5000000</v>
      </c>
      <c r="K16" s="10">
        <f t="shared" si="0"/>
        <v>500000</v>
      </c>
      <c r="L16" s="10">
        <f t="shared" si="1"/>
        <v>5500000</v>
      </c>
      <c r="M16" s="7">
        <v>46203</v>
      </c>
      <c r="N16" s="8" t="s">
        <v>139</v>
      </c>
      <c r="O16" s="9"/>
      <c r="P16" s="10">
        <f t="shared" si="2"/>
        <v>5500000</v>
      </c>
      <c r="Q16" s="7">
        <v>46234</v>
      </c>
      <c r="R16" s="6"/>
    </row>
  </sheetData>
  <autoFilter ref="A1:R1"/>
  <phoneticPr fontId="8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errorTitle="확인" error="목록에 없는 값입니다. 그래도 사용하려면 '예'를 누르세요.">
          <x14:formula1>
            <xm:f>설정!$A$2:$A$5</xm:f>
          </x14:formula1>
          <xm:sqref>C2:C2000</xm:sqref>
        </x14:dataValidation>
        <x14:dataValidation type="list" errorStyle="warning" allowBlank="1" showErrorMessage="1" errorTitle="확인" error="목록에 없는 값입니다. 그래도 사용하려면 '예'를 누르세요.">
          <x14:formula1>
            <xm:f>설정!$B$2:$B$14</xm:f>
          </x14:formula1>
          <xm:sqref>D2:D2000</xm:sqref>
        </x14:dataValidation>
        <x14:dataValidation type="list" errorStyle="warning" allowBlank="1" showErrorMessage="1" errorTitle="확인" error="목록에 없는 값입니다. 그래도 사용하려면 '예'를 누르세요.">
          <x14:formula1>
            <xm:f>설정!$D$2:$D$4</xm:f>
          </x14:formula1>
          <xm:sqref>N2:N2000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L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18" customWidth="1"/>
    <col min="3" max="3" width="10" customWidth="1"/>
    <col min="4" max="4" width="16" customWidth="1"/>
    <col min="5" max="5" width="10" customWidth="1"/>
    <col min="6" max="6" width="12" customWidth="1"/>
    <col min="7" max="7" width="14" customWidth="1"/>
    <col min="8" max="8" width="10" customWidth="1"/>
    <col min="9" max="9" width="16" customWidth="1"/>
    <col min="10" max="10" width="22" customWidth="1"/>
    <col min="11" max="11" width="24" customWidth="1"/>
    <col min="12" max="12" width="14" customWidth="1"/>
  </cols>
  <sheetData>
    <row r="1" spans="1:12" ht="30" customHeight="1" x14ac:dyDescent="0.3">
      <c r="A1" s="5" t="s">
        <v>29</v>
      </c>
      <c r="B1" s="5" t="s">
        <v>30</v>
      </c>
      <c r="C1" s="5" t="s">
        <v>160</v>
      </c>
      <c r="D1" s="5" t="s">
        <v>161</v>
      </c>
      <c r="E1" s="5" t="s">
        <v>162</v>
      </c>
      <c r="F1" s="5" t="s">
        <v>163</v>
      </c>
      <c r="G1" s="5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42</v>
      </c>
    </row>
    <row r="2" spans="1:12" x14ac:dyDescent="0.3">
      <c r="A2" s="8" t="s">
        <v>45</v>
      </c>
      <c r="B2" s="6" t="s">
        <v>46</v>
      </c>
      <c r="C2" s="8" t="s">
        <v>169</v>
      </c>
      <c r="D2" s="6"/>
      <c r="E2" s="6"/>
      <c r="F2" s="6" t="s">
        <v>170</v>
      </c>
      <c r="G2" s="6" t="s">
        <v>171</v>
      </c>
      <c r="H2" s="6"/>
      <c r="I2" s="6"/>
      <c r="J2" s="6"/>
      <c r="K2" s="6" t="s">
        <v>172</v>
      </c>
      <c r="L2" s="6"/>
    </row>
    <row r="3" spans="1:12" x14ac:dyDescent="0.3">
      <c r="A3" s="8" t="s">
        <v>67</v>
      </c>
      <c r="B3" s="6" t="s">
        <v>68</v>
      </c>
      <c r="C3" s="8" t="s">
        <v>169</v>
      </c>
      <c r="D3" s="6"/>
      <c r="E3" s="6"/>
      <c r="F3" s="6" t="s">
        <v>170</v>
      </c>
      <c r="G3" s="6" t="s">
        <v>173</v>
      </c>
      <c r="H3" s="6"/>
      <c r="I3" s="6"/>
      <c r="J3" s="6"/>
      <c r="K3" s="6" t="s">
        <v>172</v>
      </c>
      <c r="L3" s="6"/>
    </row>
    <row r="4" spans="1:12" x14ac:dyDescent="0.3">
      <c r="A4" s="8" t="s">
        <v>61</v>
      </c>
      <c r="B4" s="6" t="s">
        <v>62</v>
      </c>
      <c r="C4" s="8" t="s">
        <v>169</v>
      </c>
      <c r="D4" s="6"/>
      <c r="E4" s="6"/>
      <c r="F4" s="6" t="s">
        <v>170</v>
      </c>
      <c r="G4" s="6" t="s">
        <v>174</v>
      </c>
      <c r="H4" s="6"/>
      <c r="I4" s="6"/>
      <c r="J4" s="6"/>
      <c r="K4" s="6" t="s">
        <v>172</v>
      </c>
      <c r="L4" s="6"/>
    </row>
    <row r="5" spans="1:12" x14ac:dyDescent="0.3">
      <c r="A5" s="8" t="s">
        <v>73</v>
      </c>
      <c r="B5" s="6" t="s">
        <v>74</v>
      </c>
      <c r="C5" s="8" t="s">
        <v>169</v>
      </c>
      <c r="D5" s="6"/>
      <c r="E5" s="6"/>
      <c r="F5" s="6" t="s">
        <v>170</v>
      </c>
      <c r="G5" s="6" t="s">
        <v>173</v>
      </c>
      <c r="H5" s="6"/>
      <c r="I5" s="6"/>
      <c r="J5" s="6"/>
      <c r="K5" s="6" t="s">
        <v>172</v>
      </c>
      <c r="L5" s="6"/>
    </row>
    <row r="6" spans="1:12" x14ac:dyDescent="0.3">
      <c r="A6" s="8" t="s">
        <v>53</v>
      </c>
      <c r="B6" s="6" t="s">
        <v>54</v>
      </c>
      <c r="C6" s="8" t="s">
        <v>169</v>
      </c>
      <c r="D6" s="6"/>
      <c r="E6" s="6"/>
      <c r="F6" s="6" t="s">
        <v>175</v>
      </c>
      <c r="G6" s="6" t="s">
        <v>176</v>
      </c>
      <c r="H6" s="6"/>
      <c r="I6" s="6"/>
      <c r="J6" s="6"/>
      <c r="K6" s="6" t="s">
        <v>172</v>
      </c>
      <c r="L6" s="6"/>
    </row>
    <row r="7" spans="1:12" x14ac:dyDescent="0.3">
      <c r="A7" s="8" t="s">
        <v>80</v>
      </c>
      <c r="B7" s="6" t="s">
        <v>81</v>
      </c>
      <c r="C7" s="8" t="s">
        <v>169</v>
      </c>
      <c r="D7" s="6"/>
      <c r="E7" s="6"/>
      <c r="F7" s="6" t="s">
        <v>175</v>
      </c>
      <c r="G7" s="6" t="s">
        <v>176</v>
      </c>
      <c r="H7" s="6"/>
      <c r="I7" s="6"/>
      <c r="J7" s="6"/>
      <c r="K7" s="6" t="s">
        <v>177</v>
      </c>
      <c r="L7" s="6"/>
    </row>
    <row r="8" spans="1:12" x14ac:dyDescent="0.3">
      <c r="A8" s="8" t="s">
        <v>155</v>
      </c>
      <c r="B8" s="6" t="s">
        <v>156</v>
      </c>
      <c r="C8" s="8" t="s">
        <v>178</v>
      </c>
      <c r="D8" s="6"/>
      <c r="E8" s="6"/>
      <c r="F8" s="6" t="s">
        <v>179</v>
      </c>
      <c r="G8" s="6" t="s">
        <v>180</v>
      </c>
      <c r="H8" s="6"/>
      <c r="I8" s="6"/>
      <c r="J8" s="6"/>
      <c r="K8" s="6"/>
      <c r="L8" s="6"/>
    </row>
    <row r="9" spans="1:12" x14ac:dyDescent="0.3">
      <c r="A9" s="8" t="s">
        <v>144</v>
      </c>
      <c r="B9" s="6" t="s">
        <v>145</v>
      </c>
      <c r="C9" s="8" t="s">
        <v>178</v>
      </c>
      <c r="D9" s="6"/>
      <c r="E9" s="6"/>
      <c r="F9" s="6" t="s">
        <v>181</v>
      </c>
      <c r="G9" s="6" t="s">
        <v>182</v>
      </c>
      <c r="H9" s="6"/>
      <c r="I9" s="6"/>
      <c r="J9" s="6"/>
      <c r="K9" s="6"/>
      <c r="L9" s="6"/>
    </row>
    <row r="10" spans="1:12" x14ac:dyDescent="0.3">
      <c r="A10" s="8" t="s">
        <v>120</v>
      </c>
      <c r="B10" s="6" t="s">
        <v>121</v>
      </c>
      <c r="C10" s="8" t="s">
        <v>178</v>
      </c>
      <c r="D10" s="6"/>
      <c r="E10" s="6"/>
      <c r="F10" s="6" t="s">
        <v>183</v>
      </c>
      <c r="G10" s="6" t="s">
        <v>184</v>
      </c>
      <c r="H10" s="6"/>
      <c r="I10" s="6"/>
      <c r="J10" s="6"/>
      <c r="K10" s="6"/>
      <c r="L10" s="6"/>
    </row>
    <row r="11" spans="1:12" x14ac:dyDescent="0.3">
      <c r="A11" s="8" t="s">
        <v>127</v>
      </c>
      <c r="B11" s="6" t="s">
        <v>128</v>
      </c>
      <c r="C11" s="8" t="s">
        <v>178</v>
      </c>
      <c r="D11" s="6"/>
      <c r="E11" s="6"/>
      <c r="F11" s="6" t="s">
        <v>170</v>
      </c>
      <c r="G11" s="6" t="s">
        <v>185</v>
      </c>
      <c r="H11" s="6"/>
      <c r="I11" s="6"/>
      <c r="J11" s="6"/>
      <c r="K11" s="6"/>
      <c r="L11" s="6"/>
    </row>
    <row r="12" spans="1:12" x14ac:dyDescent="0.3">
      <c r="A12" s="8" t="s">
        <v>109</v>
      </c>
      <c r="B12" s="6" t="s">
        <v>110</v>
      </c>
      <c r="C12" s="8" t="s">
        <v>178</v>
      </c>
      <c r="D12" s="6"/>
      <c r="E12" s="6"/>
      <c r="F12" s="6" t="s">
        <v>183</v>
      </c>
      <c r="G12" s="6" t="s">
        <v>186</v>
      </c>
      <c r="H12" s="6"/>
      <c r="I12" s="6"/>
      <c r="J12" s="6"/>
      <c r="K12" s="6" t="s">
        <v>172</v>
      </c>
      <c r="L12" s="6"/>
    </row>
    <row r="13" spans="1:12" x14ac:dyDescent="0.3">
      <c r="A13" s="8" t="s">
        <v>135</v>
      </c>
      <c r="B13" s="6" t="s">
        <v>136</v>
      </c>
      <c r="C13" s="8" t="s">
        <v>178</v>
      </c>
      <c r="D13" s="6"/>
      <c r="E13" s="6"/>
      <c r="F13" s="6" t="s">
        <v>181</v>
      </c>
      <c r="G13" s="6" t="s">
        <v>187</v>
      </c>
      <c r="H13" s="6"/>
      <c r="I13" s="6"/>
      <c r="J13" s="6"/>
      <c r="K13" s="6"/>
      <c r="L13" s="6"/>
    </row>
    <row r="14" spans="1:12" x14ac:dyDescent="0.3">
      <c r="A14" s="8" t="s">
        <v>115</v>
      </c>
      <c r="B14" s="6" t="s">
        <v>116</v>
      </c>
      <c r="C14" s="8" t="s">
        <v>178</v>
      </c>
      <c r="D14" s="6"/>
      <c r="E14" s="6"/>
      <c r="F14" s="6" t="s">
        <v>181</v>
      </c>
      <c r="G14" s="6" t="s">
        <v>188</v>
      </c>
      <c r="H14" s="6"/>
      <c r="I14" s="6"/>
      <c r="J14" s="6"/>
      <c r="K14" s="6"/>
      <c r="L14" s="6"/>
    </row>
  </sheetData>
  <autoFilter ref="A1:L1"/>
  <phoneticPr fontId="8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확인" error="목록에 없는 값입니다. 그래도 사용하려면 '예'를 누르세요.">
          <x14:formula1>
            <xm:f>설정!$E$2:$E$4</xm:f>
          </x14:formula1>
          <xm:sqref>C2:C2000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10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8" customWidth="1"/>
    <col min="3" max="3" width="14" customWidth="1"/>
    <col min="4" max="4" width="11" customWidth="1"/>
    <col min="5" max="5" width="16" customWidth="1"/>
    <col min="6" max="9" width="12" customWidth="1"/>
    <col min="10" max="10" width="16" customWidth="1"/>
    <col min="11" max="11" width="11" customWidth="1"/>
    <col min="12" max="12" width="12" customWidth="1"/>
    <col min="13" max="13" width="14" customWidth="1"/>
  </cols>
  <sheetData>
    <row r="1" spans="1:13" ht="30" customHeight="1" x14ac:dyDescent="0.3">
      <c r="A1" s="5" t="s">
        <v>31</v>
      </c>
      <c r="B1" s="5" t="s">
        <v>32</v>
      </c>
      <c r="C1" s="5" t="s">
        <v>28</v>
      </c>
      <c r="D1" s="5" t="s">
        <v>189</v>
      </c>
      <c r="E1" s="5" t="s">
        <v>190</v>
      </c>
      <c r="F1" s="5" t="s">
        <v>191</v>
      </c>
      <c r="G1" s="5" t="s">
        <v>192</v>
      </c>
      <c r="H1" s="5" t="s">
        <v>193</v>
      </c>
      <c r="I1" s="5" t="s">
        <v>194</v>
      </c>
      <c r="J1" s="5" t="s">
        <v>195</v>
      </c>
      <c r="K1" s="5" t="s">
        <v>196</v>
      </c>
      <c r="L1" s="5" t="s">
        <v>197</v>
      </c>
      <c r="M1" s="5" t="s">
        <v>42</v>
      </c>
    </row>
    <row r="2" spans="1:13" x14ac:dyDescent="0.3">
      <c r="A2" s="8" t="s">
        <v>47</v>
      </c>
      <c r="B2" s="6" t="s">
        <v>48</v>
      </c>
      <c r="C2" s="8" t="s">
        <v>44</v>
      </c>
      <c r="D2" s="8" t="s">
        <v>45</v>
      </c>
      <c r="E2" s="6" t="s">
        <v>46</v>
      </c>
      <c r="F2" s="8" t="s">
        <v>172</v>
      </c>
      <c r="G2" s="7">
        <v>46027</v>
      </c>
      <c r="H2" s="7">
        <v>46030</v>
      </c>
      <c r="I2" s="7">
        <v>46042</v>
      </c>
      <c r="J2" s="9">
        <v>48000000</v>
      </c>
      <c r="K2" s="8" t="s">
        <v>198</v>
      </c>
      <c r="L2" s="8" t="s">
        <v>199</v>
      </c>
      <c r="M2" s="6"/>
    </row>
    <row r="3" spans="1:13" x14ac:dyDescent="0.3">
      <c r="A3" s="8" t="s">
        <v>69</v>
      </c>
      <c r="B3" s="6" t="s">
        <v>70</v>
      </c>
      <c r="C3" s="8" t="s">
        <v>44</v>
      </c>
      <c r="D3" s="8" t="s">
        <v>67</v>
      </c>
      <c r="E3" s="6" t="s">
        <v>68</v>
      </c>
      <c r="F3" s="8" t="s">
        <v>172</v>
      </c>
      <c r="G3" s="7">
        <v>46083</v>
      </c>
      <c r="H3" s="7">
        <v>46086</v>
      </c>
      <c r="I3" s="7">
        <v>46096</v>
      </c>
      <c r="J3" s="9">
        <v>37000000</v>
      </c>
      <c r="K3" s="8" t="s">
        <v>198</v>
      </c>
      <c r="L3" s="8" t="s">
        <v>200</v>
      </c>
      <c r="M3" s="6"/>
    </row>
    <row r="4" spans="1:13" x14ac:dyDescent="0.3">
      <c r="A4" s="8" t="s">
        <v>55</v>
      </c>
      <c r="B4" s="6" t="s">
        <v>56</v>
      </c>
      <c r="C4" s="8" t="s">
        <v>52</v>
      </c>
      <c r="D4" s="8" t="s">
        <v>53</v>
      </c>
      <c r="E4" s="6" t="s">
        <v>54</v>
      </c>
      <c r="F4" s="8" t="s">
        <v>172</v>
      </c>
      <c r="G4" s="7">
        <v>46054</v>
      </c>
      <c r="H4" s="7">
        <v>46058</v>
      </c>
      <c r="I4" s="7">
        <v>46265</v>
      </c>
      <c r="J4" s="9">
        <v>85000000</v>
      </c>
      <c r="K4" s="8" t="s">
        <v>201</v>
      </c>
      <c r="L4" s="8" t="s">
        <v>202</v>
      </c>
      <c r="M4" s="6"/>
    </row>
    <row r="5" spans="1:13" x14ac:dyDescent="0.3">
      <c r="A5" s="8" t="s">
        <v>63</v>
      </c>
      <c r="B5" s="6" t="s">
        <v>64</v>
      </c>
      <c r="C5" s="8" t="s">
        <v>60</v>
      </c>
      <c r="D5" s="8" t="s">
        <v>61</v>
      </c>
      <c r="E5" s="6" t="s">
        <v>62</v>
      </c>
      <c r="F5" s="8" t="s">
        <v>172</v>
      </c>
      <c r="G5" s="7">
        <v>46063</v>
      </c>
      <c r="H5" s="7">
        <v>46065</v>
      </c>
      <c r="I5" s="7">
        <v>46081</v>
      </c>
      <c r="J5" s="9">
        <v>120000000</v>
      </c>
      <c r="K5" s="8" t="s">
        <v>203</v>
      </c>
      <c r="L5" s="8" t="s">
        <v>204</v>
      </c>
      <c r="M5" s="6"/>
    </row>
    <row r="6" spans="1:13" x14ac:dyDescent="0.3">
      <c r="A6" s="8" t="s">
        <v>75</v>
      </c>
      <c r="B6" s="6" t="s">
        <v>76</v>
      </c>
      <c r="C6" s="8" t="s">
        <v>44</v>
      </c>
      <c r="D6" s="8" t="s">
        <v>73</v>
      </c>
      <c r="E6" s="6" t="s">
        <v>74</v>
      </c>
      <c r="F6" s="8" t="s">
        <v>172</v>
      </c>
      <c r="G6" s="7">
        <v>46099</v>
      </c>
      <c r="H6" s="7">
        <v>46101</v>
      </c>
      <c r="I6" s="7">
        <v>46122</v>
      </c>
      <c r="J6" s="9">
        <v>29500000</v>
      </c>
      <c r="K6" s="8" t="s">
        <v>201</v>
      </c>
      <c r="L6" s="8" t="s">
        <v>200</v>
      </c>
      <c r="M6" s="6"/>
    </row>
    <row r="7" spans="1:13" x14ac:dyDescent="0.3">
      <c r="A7" s="8" t="s">
        <v>82</v>
      </c>
      <c r="B7" s="6" t="s">
        <v>83</v>
      </c>
      <c r="C7" s="8" t="s">
        <v>52</v>
      </c>
      <c r="D7" s="8" t="s">
        <v>80</v>
      </c>
      <c r="E7" s="6" t="s">
        <v>81</v>
      </c>
      <c r="F7" s="8" t="s">
        <v>177</v>
      </c>
      <c r="G7" s="7">
        <v>46122</v>
      </c>
      <c r="H7" s="7">
        <v>46126</v>
      </c>
      <c r="I7" s="7">
        <v>46203</v>
      </c>
      <c r="J7" s="9">
        <v>41000000</v>
      </c>
      <c r="K7" s="8" t="s">
        <v>201</v>
      </c>
      <c r="L7" s="8" t="s">
        <v>202</v>
      </c>
      <c r="M7" s="6"/>
    </row>
    <row r="8" spans="1:13" x14ac:dyDescent="0.3">
      <c r="A8" s="8" t="s">
        <v>86</v>
      </c>
      <c r="B8" s="6" t="s">
        <v>87</v>
      </c>
      <c r="C8" s="8" t="s">
        <v>44</v>
      </c>
      <c r="D8" s="8" t="s">
        <v>45</v>
      </c>
      <c r="E8" s="6" t="s">
        <v>46</v>
      </c>
      <c r="F8" s="8" t="s">
        <v>172</v>
      </c>
      <c r="G8" s="7">
        <v>46144</v>
      </c>
      <c r="H8" s="7">
        <v>46148</v>
      </c>
      <c r="I8" s="7">
        <v>46162</v>
      </c>
      <c r="J8" s="9">
        <v>26000000</v>
      </c>
      <c r="K8" s="8" t="s">
        <v>198</v>
      </c>
      <c r="L8" s="8" t="s">
        <v>199</v>
      </c>
      <c r="M8" s="6"/>
    </row>
    <row r="9" spans="1:13" x14ac:dyDescent="0.3">
      <c r="A9" s="8" t="s">
        <v>90</v>
      </c>
      <c r="B9" s="6" t="s">
        <v>91</v>
      </c>
      <c r="C9" s="8" t="s">
        <v>60</v>
      </c>
      <c r="D9" s="8" t="s">
        <v>67</v>
      </c>
      <c r="E9" s="6" t="s">
        <v>68</v>
      </c>
      <c r="F9" s="8" t="s">
        <v>172</v>
      </c>
      <c r="G9" s="7">
        <v>46160</v>
      </c>
      <c r="H9" s="7">
        <v>46162</v>
      </c>
      <c r="I9" s="7">
        <v>46254</v>
      </c>
      <c r="J9" s="9">
        <v>18000000</v>
      </c>
      <c r="K9" s="8" t="s">
        <v>201</v>
      </c>
      <c r="L9" s="8" t="s">
        <v>204</v>
      </c>
      <c r="M9" s="6"/>
    </row>
    <row r="10" spans="1:13" x14ac:dyDescent="0.3">
      <c r="A10" s="8" t="s">
        <v>94</v>
      </c>
      <c r="B10" s="6" t="s">
        <v>95</v>
      </c>
      <c r="C10" s="8" t="s">
        <v>44</v>
      </c>
      <c r="D10" s="8" t="s">
        <v>61</v>
      </c>
      <c r="E10" s="6" t="s">
        <v>62</v>
      </c>
      <c r="F10" s="8" t="s">
        <v>172</v>
      </c>
      <c r="G10" s="7">
        <v>46178</v>
      </c>
      <c r="H10" s="7">
        <v>46182</v>
      </c>
      <c r="I10" s="7">
        <v>46198</v>
      </c>
      <c r="J10" s="9">
        <v>33500000</v>
      </c>
      <c r="K10" s="8" t="s">
        <v>201</v>
      </c>
      <c r="L10" s="8" t="s">
        <v>200</v>
      </c>
      <c r="M10" s="6"/>
    </row>
  </sheetData>
  <autoFilter ref="A1:M1"/>
  <phoneticPr fontId="8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확인" error="목록에 없는 값입니다. 그래도 사용하려면 '예'를 누르세요.">
          <x14:formula1>
            <xm:f>설정!$A$2:$A$5</xm:f>
          </x14:formula1>
          <xm:sqref>C2:C2000</xm:sqref>
        </x14:dataValidation>
        <x14:dataValidation type="list" errorStyle="warning" allowBlank="1" showErrorMessage="1" errorTitle="확인" error="목록에 없는 값입니다. 그래도 사용하려면 '예'를 누르세요.">
          <x14:formula1>
            <xm:f>설정!$F$2:$F$5</xm:f>
          </x14:formula1>
          <xm:sqref>K2:K2000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J1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8" customWidth="1"/>
    <col min="3" max="3" width="12" customWidth="1"/>
    <col min="4" max="4" width="26" customWidth="1"/>
    <col min="5" max="6" width="14" customWidth="1"/>
    <col min="7" max="7" width="16" customWidth="1"/>
    <col min="8" max="8" width="12" customWidth="1"/>
    <col min="9" max="9" width="10" customWidth="1"/>
    <col min="10" max="10" width="16" customWidth="1"/>
  </cols>
  <sheetData>
    <row r="1" spans="1:10" ht="30" customHeight="1" x14ac:dyDescent="0.3">
      <c r="A1" s="5" t="s">
        <v>205</v>
      </c>
      <c r="B1" s="5" t="s">
        <v>206</v>
      </c>
      <c r="C1" s="5" t="s">
        <v>207</v>
      </c>
      <c r="D1" s="5" t="s">
        <v>208</v>
      </c>
      <c r="E1" s="5" t="s">
        <v>209</v>
      </c>
      <c r="F1" s="5" t="s">
        <v>210</v>
      </c>
      <c r="G1" s="5" t="s">
        <v>211</v>
      </c>
      <c r="H1" s="5" t="s">
        <v>212</v>
      </c>
      <c r="I1" s="5" t="s">
        <v>213</v>
      </c>
      <c r="J1" s="5" t="s">
        <v>42</v>
      </c>
    </row>
    <row r="2" spans="1:10" x14ac:dyDescent="0.3">
      <c r="A2" s="7">
        <v>46053</v>
      </c>
      <c r="B2" s="8" t="s">
        <v>214</v>
      </c>
      <c r="C2" s="8" t="s">
        <v>215</v>
      </c>
      <c r="D2" s="6" t="s">
        <v>216</v>
      </c>
      <c r="E2" s="9">
        <v>52800000</v>
      </c>
      <c r="F2" s="9"/>
      <c r="G2" s="10">
        <f>SUM($E$2:E2)-SUM($F$2:F2)</f>
        <v>52800000</v>
      </c>
      <c r="H2" s="8" t="s">
        <v>217</v>
      </c>
      <c r="I2" s="8" t="s">
        <v>43</v>
      </c>
      <c r="J2" s="6"/>
    </row>
    <row r="3" spans="1:10" x14ac:dyDescent="0.3">
      <c r="A3" s="7">
        <v>46053</v>
      </c>
      <c r="B3" s="8" t="s">
        <v>218</v>
      </c>
      <c r="C3" s="8" t="s">
        <v>219</v>
      </c>
      <c r="D3" s="6" t="s">
        <v>220</v>
      </c>
      <c r="E3" s="9"/>
      <c r="F3" s="9">
        <v>19800000</v>
      </c>
      <c r="G3" s="10">
        <f>SUM($E$2:E3)-SUM($F$2:F3)</f>
        <v>33000000</v>
      </c>
      <c r="H3" s="8" t="s">
        <v>217</v>
      </c>
      <c r="I3" s="8" t="s">
        <v>107</v>
      </c>
      <c r="J3" s="6"/>
    </row>
    <row r="4" spans="1:10" x14ac:dyDescent="0.3">
      <c r="A4" s="7">
        <v>46058</v>
      </c>
      <c r="B4" s="8" t="s">
        <v>218</v>
      </c>
      <c r="C4" s="8" t="s">
        <v>219</v>
      </c>
      <c r="D4" s="6" t="s">
        <v>221</v>
      </c>
      <c r="E4" s="9"/>
      <c r="F4" s="9">
        <v>7150000</v>
      </c>
      <c r="G4" s="10">
        <f>SUM($E$2:E4)-SUM($F$2:F4)</f>
        <v>25850000</v>
      </c>
      <c r="H4" s="8" t="s">
        <v>217</v>
      </c>
      <c r="I4" s="8" t="s">
        <v>113</v>
      </c>
      <c r="J4" s="6"/>
    </row>
    <row r="5" spans="1:10" x14ac:dyDescent="0.3">
      <c r="A5" s="7">
        <v>46081</v>
      </c>
      <c r="B5" s="8" t="s">
        <v>214</v>
      </c>
      <c r="C5" s="8" t="s">
        <v>215</v>
      </c>
      <c r="D5" s="6" t="s">
        <v>222</v>
      </c>
      <c r="E5" s="9">
        <v>132000000</v>
      </c>
      <c r="F5" s="9"/>
      <c r="G5" s="10">
        <f>SUM($E$2:E5)-SUM($F$2:F5)</f>
        <v>157850000</v>
      </c>
      <c r="H5" s="8" t="s">
        <v>217</v>
      </c>
      <c r="I5" s="8" t="s">
        <v>59</v>
      </c>
      <c r="J5" s="6"/>
    </row>
    <row r="6" spans="1:10" x14ac:dyDescent="0.3">
      <c r="A6" s="7">
        <v>46081</v>
      </c>
      <c r="B6" s="8" t="s">
        <v>214</v>
      </c>
      <c r="C6" s="8" t="s">
        <v>215</v>
      </c>
      <c r="D6" s="6" t="s">
        <v>223</v>
      </c>
      <c r="E6" s="9">
        <v>30000000</v>
      </c>
      <c r="F6" s="9"/>
      <c r="G6" s="10">
        <f>SUM($E$2:E6)-SUM($F$2:F6)</f>
        <v>187850000</v>
      </c>
      <c r="H6" s="8" t="s">
        <v>217</v>
      </c>
      <c r="I6" s="8" t="s">
        <v>51</v>
      </c>
      <c r="J6" s="6"/>
    </row>
    <row r="7" spans="1:10" x14ac:dyDescent="0.3">
      <c r="A7" s="7">
        <v>46081</v>
      </c>
      <c r="B7" s="8" t="s">
        <v>218</v>
      </c>
      <c r="C7" s="8" t="s">
        <v>224</v>
      </c>
      <c r="D7" s="6" t="s">
        <v>225</v>
      </c>
      <c r="E7" s="9"/>
      <c r="F7" s="9">
        <v>45000000</v>
      </c>
      <c r="G7" s="10">
        <f>SUM($E$2:E7)-SUM($F$2:F7)</f>
        <v>142850000</v>
      </c>
      <c r="H7" s="8" t="s">
        <v>217</v>
      </c>
      <c r="I7" s="8"/>
      <c r="J7" s="6"/>
    </row>
    <row r="8" spans="1:10" x14ac:dyDescent="0.3">
      <c r="A8" s="7">
        <v>46091</v>
      </c>
      <c r="B8" s="8" t="s">
        <v>218</v>
      </c>
      <c r="C8" s="8" t="s">
        <v>219</v>
      </c>
      <c r="D8" s="6" t="s">
        <v>226</v>
      </c>
      <c r="E8" s="9"/>
      <c r="F8" s="9">
        <v>9900000</v>
      </c>
      <c r="G8" s="10">
        <f>SUM($E$2:E8)-SUM($F$2:F8)</f>
        <v>132950000</v>
      </c>
      <c r="H8" s="8" t="s">
        <v>217</v>
      </c>
      <c r="I8" s="8" t="s">
        <v>118</v>
      </c>
      <c r="J8" s="6"/>
    </row>
    <row r="9" spans="1:10" x14ac:dyDescent="0.3">
      <c r="A9" s="7">
        <v>46112</v>
      </c>
      <c r="B9" s="8" t="s">
        <v>214</v>
      </c>
      <c r="C9" s="8" t="s">
        <v>215</v>
      </c>
      <c r="D9" s="6" t="s">
        <v>227</v>
      </c>
      <c r="E9" s="9">
        <v>40700000</v>
      </c>
      <c r="F9" s="9"/>
      <c r="G9" s="10">
        <f>SUM($E$2:E9)-SUM($F$2:F9)</f>
        <v>173650000</v>
      </c>
      <c r="H9" s="8" t="s">
        <v>217</v>
      </c>
      <c r="I9" s="8" t="s">
        <v>66</v>
      </c>
      <c r="J9" s="6"/>
    </row>
    <row r="10" spans="1:10" x14ac:dyDescent="0.3">
      <c r="A10" s="7">
        <v>46112</v>
      </c>
      <c r="B10" s="8" t="s">
        <v>218</v>
      </c>
      <c r="C10" s="8" t="s">
        <v>228</v>
      </c>
      <c r="D10" s="6" t="s">
        <v>229</v>
      </c>
      <c r="E10" s="9"/>
      <c r="F10" s="9">
        <v>8000000</v>
      </c>
      <c r="G10" s="10">
        <f>SUM($E$2:E10)-SUM($F$2:F10)</f>
        <v>165650000</v>
      </c>
      <c r="H10" s="8" t="s">
        <v>217</v>
      </c>
      <c r="I10" s="8"/>
      <c r="J10" s="6"/>
    </row>
    <row r="11" spans="1:10" x14ac:dyDescent="0.3">
      <c r="A11" s="7">
        <v>46142</v>
      </c>
      <c r="B11" s="8" t="s">
        <v>214</v>
      </c>
      <c r="C11" s="8" t="s">
        <v>215</v>
      </c>
      <c r="D11" s="6" t="s">
        <v>230</v>
      </c>
      <c r="E11" s="9">
        <v>20000000</v>
      </c>
      <c r="F11" s="9"/>
      <c r="G11" s="10">
        <f>SUM($E$2:E11)-SUM($F$2:F11)</f>
        <v>185650000</v>
      </c>
      <c r="H11" s="8" t="s">
        <v>217</v>
      </c>
      <c r="I11" s="8" t="s">
        <v>79</v>
      </c>
      <c r="J11" s="6"/>
    </row>
    <row r="12" spans="1:10" x14ac:dyDescent="0.3">
      <c r="A12" s="7">
        <v>46173</v>
      </c>
      <c r="B12" s="8" t="s">
        <v>214</v>
      </c>
      <c r="C12" s="8" t="s">
        <v>215</v>
      </c>
      <c r="D12" s="6" t="s">
        <v>231</v>
      </c>
      <c r="E12" s="9">
        <v>28600000</v>
      </c>
      <c r="F12" s="9"/>
      <c r="G12" s="10">
        <f>SUM($E$2:E12)-SUM($F$2:F12)</f>
        <v>214250000</v>
      </c>
      <c r="H12" s="8" t="s">
        <v>217</v>
      </c>
      <c r="I12" s="8" t="s">
        <v>85</v>
      </c>
      <c r="J12" s="6"/>
    </row>
    <row r="13" spans="1:10" x14ac:dyDescent="0.3">
      <c r="A13" s="7">
        <v>46198</v>
      </c>
      <c r="B13" s="8" t="s">
        <v>218</v>
      </c>
      <c r="C13" s="8" t="s">
        <v>232</v>
      </c>
      <c r="D13" s="6" t="s">
        <v>233</v>
      </c>
      <c r="E13" s="9"/>
      <c r="F13" s="9">
        <v>3500000</v>
      </c>
      <c r="G13" s="10">
        <f>SUM($E$2:E13)-SUM($F$2:F13)</f>
        <v>210750000</v>
      </c>
      <c r="H13" s="8" t="s">
        <v>217</v>
      </c>
      <c r="I13" s="8"/>
      <c r="J13" s="6"/>
    </row>
  </sheetData>
  <autoFilter ref="A1:J1"/>
  <phoneticPr fontId="8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확인" error="목록에 없는 값입니다. 그래도 사용하려면 '예'를 누르세요.">
          <x14:formula1>
            <xm:f>설정!$G$2:$G$3</xm:f>
          </x14:formula1>
          <xm:sqref>B2:B2000</xm:sqref>
        </x14:dataValidation>
        <x14:dataValidation type="list" errorStyle="warning" allowBlank="1" showErrorMessage="1" errorTitle="확인" error="목록에 없는 값입니다. 그래도 사용하려면 '예'를 누르세요.">
          <x14:formula1>
            <xm:f>설정!$H$2:$H$9</xm:f>
          </x14:formula1>
          <xm:sqref>C2:C2000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H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8" width="14" customWidth="1"/>
  </cols>
  <sheetData>
    <row r="1" spans="1:8" x14ac:dyDescent="0.3">
      <c r="A1" s="11" t="s">
        <v>28</v>
      </c>
      <c r="B1" s="11" t="s">
        <v>234</v>
      </c>
      <c r="C1" s="11" t="s">
        <v>38</v>
      </c>
      <c r="D1" s="11" t="s">
        <v>103</v>
      </c>
      <c r="E1" s="11" t="s">
        <v>160</v>
      </c>
      <c r="F1" s="11" t="s">
        <v>196</v>
      </c>
      <c r="G1" s="11" t="s">
        <v>235</v>
      </c>
      <c r="H1" s="11" t="s">
        <v>236</v>
      </c>
    </row>
    <row r="2" spans="1:8" x14ac:dyDescent="0.3">
      <c r="A2" s="12" t="s">
        <v>60</v>
      </c>
      <c r="B2" s="12" t="s">
        <v>108</v>
      </c>
      <c r="C2" s="12" t="s">
        <v>78</v>
      </c>
      <c r="D2" s="12" t="s">
        <v>139</v>
      </c>
      <c r="E2" s="12" t="s">
        <v>169</v>
      </c>
      <c r="F2" s="12" t="s">
        <v>237</v>
      </c>
      <c r="G2" s="12" t="s">
        <v>214</v>
      </c>
      <c r="H2" s="12" t="s">
        <v>215</v>
      </c>
    </row>
    <row r="3" spans="1:8" x14ac:dyDescent="0.3">
      <c r="A3" s="12" t="s">
        <v>44</v>
      </c>
      <c r="B3" s="12" t="s">
        <v>238</v>
      </c>
      <c r="C3" s="12" t="s">
        <v>58</v>
      </c>
      <c r="D3" s="12" t="s">
        <v>125</v>
      </c>
      <c r="E3" s="12" t="s">
        <v>178</v>
      </c>
      <c r="F3" s="12" t="s">
        <v>201</v>
      </c>
      <c r="G3" s="12" t="s">
        <v>218</v>
      </c>
      <c r="H3" s="12" t="s">
        <v>219</v>
      </c>
    </row>
    <row r="4" spans="1:8" x14ac:dyDescent="0.3">
      <c r="A4" s="12" t="s">
        <v>52</v>
      </c>
      <c r="B4" s="12" t="s">
        <v>114</v>
      </c>
      <c r="C4" s="12" t="s">
        <v>50</v>
      </c>
      <c r="D4" s="12" t="s">
        <v>112</v>
      </c>
      <c r="E4" s="12" t="s">
        <v>239</v>
      </c>
      <c r="F4" s="12" t="s">
        <v>198</v>
      </c>
      <c r="H4" s="12" t="s">
        <v>224</v>
      </c>
    </row>
    <row r="5" spans="1:8" x14ac:dyDescent="0.3">
      <c r="A5" s="12" t="s">
        <v>133</v>
      </c>
      <c r="B5" s="12" t="s">
        <v>119</v>
      </c>
      <c r="F5" s="12" t="s">
        <v>203</v>
      </c>
      <c r="H5" s="12" t="s">
        <v>228</v>
      </c>
    </row>
    <row r="6" spans="1:8" x14ac:dyDescent="0.3">
      <c r="B6" s="12" t="s">
        <v>134</v>
      </c>
      <c r="H6" s="12" t="s">
        <v>232</v>
      </c>
    </row>
    <row r="7" spans="1:8" x14ac:dyDescent="0.3">
      <c r="B7" s="12" t="s">
        <v>154</v>
      </c>
      <c r="H7" s="12" t="s">
        <v>240</v>
      </c>
    </row>
    <row r="8" spans="1:8" x14ac:dyDescent="0.3">
      <c r="B8" s="12" t="s">
        <v>241</v>
      </c>
      <c r="H8" s="12" t="s">
        <v>242</v>
      </c>
    </row>
    <row r="9" spans="1:8" x14ac:dyDescent="0.3">
      <c r="B9" s="12" t="s">
        <v>243</v>
      </c>
      <c r="H9" s="12" t="s">
        <v>244</v>
      </c>
    </row>
    <row r="10" spans="1:8" x14ac:dyDescent="0.3">
      <c r="B10" s="12" t="s">
        <v>143</v>
      </c>
    </row>
    <row r="11" spans="1:8" x14ac:dyDescent="0.3">
      <c r="B11" s="12" t="s">
        <v>245</v>
      </c>
    </row>
    <row r="12" spans="1:8" x14ac:dyDescent="0.3">
      <c r="B12" s="12" t="s">
        <v>246</v>
      </c>
    </row>
    <row r="13" spans="1:8" x14ac:dyDescent="0.3">
      <c r="B13" s="12" t="s">
        <v>247</v>
      </c>
    </row>
    <row r="14" spans="1:8" x14ac:dyDescent="0.3">
      <c r="B14" s="12" t="s">
        <v>248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안내</vt:lpstr>
      <vt:lpstr>매출</vt:lpstr>
      <vt:lpstr>매입</vt:lpstr>
      <vt:lpstr>거래처</vt:lpstr>
      <vt:lpstr>프로젝트</vt:lpstr>
      <vt:lpstr>자금수지</vt:lpstr>
      <vt:lpstr>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2026-07-02T01:03:06Z</dcterms:created>
  <dcterms:modified xsi:type="dcterms:W3CDTF">2026-07-02T01:04:00Z</dcterms:modified>
</cp:coreProperties>
</file>